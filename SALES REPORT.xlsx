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ika Banait\Desktop\"/>
    </mc:Choice>
  </mc:AlternateContent>
  <xr:revisionPtr revIDLastSave="0" documentId="8_{AFB22DC2-6F3C-4C05-AF7B-148D16536AD2}" xr6:coauthVersionLast="47" xr6:coauthVersionMax="47" xr10:uidLastSave="{00000000-0000-0000-0000-000000000000}"/>
  <bookViews>
    <workbookView xWindow="-108" yWindow="-108" windowWidth="23256" windowHeight="12456" xr2:uid="{B3DCDEDB-04CF-481B-8016-6A37910D0B2D}"/>
  </bookViews>
  <sheets>
    <sheet name="COMPLETE SHEET" sheetId="1" r:id="rId1"/>
    <sheet name="TOTAL SALES" sheetId="5" r:id="rId2"/>
    <sheet name="PRODUCT SALES" sheetId="3" r:id="rId3"/>
    <sheet name="CATEGORY SALES" sheetId="2" r:id="rId4"/>
    <sheet name="REGION SALES" sheetId="4" r:id="rId5"/>
    <sheet name="MODE" sheetId="14" r:id="rId6"/>
  </sheets>
  <definedNames>
    <definedName name="_xlcn.WorksheetConnection_Book1Table11" hidden="1">Table1[]</definedName>
  </definedNames>
  <calcPr calcId="191029"/>
  <pivotCaches>
    <pivotCache cacheId="35" r:id="rId7"/>
    <pivotCache cacheId="5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100" i="1" l="1"/>
  <c r="H76" i="1"/>
  <c r="H64" i="1"/>
  <c r="H40" i="1"/>
  <c r="H27" i="1"/>
  <c r="H88" i="1"/>
  <c r="H52" i="1"/>
  <c r="H28" i="1"/>
  <c r="H99" i="1"/>
  <c r="H87" i="1"/>
  <c r="H75" i="1"/>
  <c r="H63" i="1"/>
  <c r="H51" i="1"/>
  <c r="H39" i="1"/>
  <c r="H15" i="1"/>
  <c r="H16" i="1"/>
  <c r="H96" i="1"/>
  <c r="H84" i="1"/>
  <c r="H102" i="1"/>
  <c r="H90" i="1"/>
  <c r="H78" i="1"/>
  <c r="H66" i="1"/>
  <c r="H54" i="1"/>
  <c r="H42" i="1"/>
  <c r="H30" i="1"/>
  <c r="H18" i="1"/>
  <c r="H6" i="1"/>
  <c r="H95" i="1"/>
  <c r="H83" i="1"/>
  <c r="H71" i="1"/>
  <c r="H59" i="1"/>
  <c r="H47" i="1"/>
  <c r="H35" i="1"/>
  <c r="H23" i="1"/>
  <c r="H11" i="1"/>
  <c r="H101" i="1"/>
  <c r="H89" i="1"/>
  <c r="H77" i="1"/>
  <c r="H65" i="1"/>
  <c r="H53" i="1"/>
  <c r="H41" i="1"/>
  <c r="H29" i="1"/>
  <c r="H17" i="1"/>
  <c r="H94" i="1"/>
  <c r="H82" i="1"/>
  <c r="H70" i="1"/>
  <c r="H58" i="1"/>
  <c r="H46" i="1"/>
  <c r="H34" i="1"/>
  <c r="H22" i="1"/>
  <c r="H10" i="1"/>
  <c r="H93" i="1"/>
  <c r="H81" i="1"/>
  <c r="H69" i="1"/>
  <c r="H57" i="1"/>
  <c r="H45" i="1"/>
  <c r="H33" i="1"/>
  <c r="H21" i="1"/>
  <c r="H9" i="1"/>
  <c r="H98" i="1"/>
  <c r="H86" i="1"/>
  <c r="H74" i="1"/>
  <c r="H62" i="1"/>
  <c r="H50" i="1"/>
  <c r="H38" i="1"/>
  <c r="H26" i="1"/>
  <c r="H14" i="1"/>
  <c r="H92" i="1"/>
  <c r="H80" i="1"/>
  <c r="H68" i="1"/>
  <c r="H56" i="1"/>
  <c r="H44" i="1"/>
  <c r="H32" i="1"/>
  <c r="H20" i="1"/>
  <c r="H8" i="1"/>
  <c r="H97" i="1"/>
  <c r="H85" i="1"/>
  <c r="H73" i="1"/>
  <c r="H61" i="1"/>
  <c r="H49" i="1"/>
  <c r="H37" i="1"/>
  <c r="H25" i="1"/>
  <c r="H13" i="1"/>
  <c r="H103" i="1"/>
  <c r="H91" i="1"/>
  <c r="H79" i="1"/>
  <c r="H67" i="1"/>
  <c r="H55" i="1"/>
  <c r="H43" i="1"/>
  <c r="H31" i="1"/>
  <c r="H19" i="1"/>
  <c r="H7" i="1"/>
  <c r="H72" i="1"/>
  <c r="H60" i="1"/>
  <c r="H48" i="1"/>
  <c r="H36" i="1"/>
  <c r="H24" i="1"/>
  <c r="H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CBB7FF-573A-4900-95DC-9FF50BBC25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8E3630-ACAE-40B5-9AEB-C82D0FE0AC71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1"/>
        </x15:connection>
      </ext>
    </extLst>
  </connection>
</connections>
</file>

<file path=xl/sharedStrings.xml><?xml version="1.0" encoding="utf-8"?>
<sst xmlns="http://schemas.openxmlformats.org/spreadsheetml/2006/main" count="466" uniqueCount="55">
  <si>
    <t>Order ID</t>
  </si>
  <si>
    <t>Date</t>
  </si>
  <si>
    <t>Product</t>
  </si>
  <si>
    <t xml:space="preserve">Region </t>
  </si>
  <si>
    <t>Quantity</t>
  </si>
  <si>
    <t xml:space="preserve">Unit Price </t>
  </si>
  <si>
    <t xml:space="preserve">Total Sales </t>
  </si>
  <si>
    <t>T-Shirt</t>
  </si>
  <si>
    <t>Category</t>
  </si>
  <si>
    <t>PUNE</t>
  </si>
  <si>
    <t xml:space="preserve">MUMBAI </t>
  </si>
  <si>
    <t>DELHI</t>
  </si>
  <si>
    <t>SURAT</t>
  </si>
  <si>
    <t>NASHIK</t>
  </si>
  <si>
    <t>NAGPUR</t>
  </si>
  <si>
    <t>Row Labels</t>
  </si>
  <si>
    <t>Accessories</t>
  </si>
  <si>
    <t>Clothing</t>
  </si>
  <si>
    <t>Electronics</t>
  </si>
  <si>
    <t>Grocery</t>
  </si>
  <si>
    <t>Home Decor</t>
  </si>
  <si>
    <t>Grand Total</t>
  </si>
  <si>
    <t xml:space="preserve">Sum of Total Sales </t>
  </si>
  <si>
    <t>Belt</t>
  </si>
  <si>
    <t>Biscuit</t>
  </si>
  <si>
    <t>Earphones</t>
  </si>
  <si>
    <t>Jacket</t>
  </si>
  <si>
    <t>Jeans</t>
  </si>
  <si>
    <t>Lamp</t>
  </si>
  <si>
    <t>Mobile</t>
  </si>
  <si>
    <t>Oil</t>
  </si>
  <si>
    <t>Rice</t>
  </si>
  <si>
    <t>Smartwatch</t>
  </si>
  <si>
    <t>Sunglasses</t>
  </si>
  <si>
    <t>Vase</t>
  </si>
  <si>
    <t>Wall Art</t>
  </si>
  <si>
    <t>Wallet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</si>
  <si>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</si>
  <si>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</si>
  <si>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</si>
  <si>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</si>
  <si>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</si>
  <si>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</si>
  <si>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</si>
  <si>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</si>
  <si>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</si>
  <si>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</si>
  <si>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</si>
  <si>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</si>
  <si>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Mode</t>
  </si>
  <si>
    <t>Cash</t>
  </si>
  <si>
    <t>online</t>
  </si>
  <si>
    <t>cash</t>
  </si>
  <si>
    <t>Sum of Total Sales</t>
  </si>
  <si>
    <t>TOTAL SALES REPORT OF OBEROI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</si>
</sst>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0" fontId="2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45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numFmt numFmtId="19" formatCode="dd/mm/yyyy"/>
    </dxf>
    <dxf>
      <numFmt numFmtId="1" formatCode="0"/>
    </dxf>
    <dxf>
      <numFmt numFmtId="164" formatCode="&quot;₹&quot;\ #,##0.00"/>
      <alignment horizontal="right" vertical="center" textRotation="0" wrapText="0" indent="0" justifyLastLine="0" shrinkToFit="0" readingOrder="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ika Banait" refreshedDate="45985.806314004629" backgroundQuery="1" createdVersion="8" refreshedVersion="8" minRefreshableVersion="3" recordCount="0" supportSubquery="1" supportAdvancedDrill="1" xr:uid="{3B89CDB1-A0AC-4151-B570-08F39492E26C}">
  <cacheSource type="external" connectionId="1"/>
  <cacheFields count="2">
    <cacheField name="[Table1].[Mode].[Mode]" caption="Mode" numFmtId="0" hierarchy="8" level="1">
      <sharedItems count="2">
        <s v="Cash"/>
        <s v="online"/>
      </sharedItems>
    </cacheField>
    <cacheField name="[Measures].[Sum of Total Sales]" caption="Sum of Total Sales" numFmtId="0" hierarchy="11" level="32767"/>
  </cacheFields>
  <cacheHierarchies count="12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20" unbalanced="0"/>
    <cacheHierarchy uniqueName="[Table1].[Mode]" caption="Mode" attribute="1" defaultMemberUniqueName="[Table1].[Mode].[All]" allUniqueName="[Table1].[Mode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ika Banait" refreshedDate="45985.83787048611" createdVersion="8" refreshedVersion="8" minRefreshableVersion="3" recordCount="100" xr:uid="{AE00D04B-91BE-467B-84CA-57E9BF88C0BD}">
  <cacheSource type="worksheet">
    <worksheetSource name="Table1"/>
  </cacheSource>
  <cacheFields count="11">
    <cacheField name="Order ID" numFmtId="0">
      <sharedItems containsSemiMixedTypes="0" containsString="0" containsNumber="1" containsInteger="1" minValue="1" maxValue="100"/>
    </cacheField>
    <cacheField name="Date" numFmtId="14">
      <sharedItems containsSemiMixedTypes="0" containsNonDate="0" containsDate="1" containsString="0" minDate="2024-01-03T00:00:00" maxDate="2024-12-30T00:00:00" count="164">
        <d v="2024-12-20T00:00:00"/>
        <d v="2024-07-02T00:00:00"/>
        <d v="2024-07-25T00:00:00"/>
        <d v="2024-10-19T00:00:00"/>
        <d v="2024-09-29T00:00:00"/>
        <d v="2024-02-10T00:00:00"/>
        <d v="2024-11-05T00:00:00"/>
        <d v="2024-08-30T00:00:00"/>
        <d v="2024-09-30T00:00:00"/>
        <d v="2024-02-12T00:00:00"/>
        <d v="2024-04-26T00:00:00"/>
        <d v="2024-11-21T00:00:00"/>
        <d v="2024-05-10T00:00:00"/>
        <d v="2024-01-05T00:00:00"/>
        <d v="2024-08-03T00:00:00"/>
        <d v="2024-09-03T00:00:00"/>
        <d v="2024-04-13T00:00:00"/>
        <d v="2024-01-09T00:00:00"/>
        <d v="2024-08-02T00:00:00"/>
        <d v="2024-02-20T00:00:00"/>
        <d v="2024-02-19T00:00:00"/>
        <d v="2024-02-22T00:00:00"/>
        <d v="2024-12-09T00:00:00"/>
        <d v="2024-10-06T00:00:00"/>
        <d v="2024-02-14T00:00:00"/>
        <d v="2024-05-07T00:00:00"/>
        <d v="2024-01-12T00:00:00"/>
        <d v="2024-06-13T00:00:00"/>
        <d v="2024-10-07T00:00:00"/>
        <d v="2024-10-22T00:00:00"/>
        <d v="2024-09-06T00:00:00"/>
        <d v="2024-12-08T00:00:00"/>
        <d v="2024-05-30T00:00:00"/>
        <d v="2024-02-09T00:00:00"/>
        <d v="2024-07-30T00:00:00"/>
        <d v="2024-06-07T00:00:00"/>
        <d v="2024-08-31T00:00:00"/>
        <d v="2024-07-22T00:00:00"/>
        <d v="2024-03-24T00:00:00"/>
        <d v="2024-05-03T00:00:00"/>
        <d v="2024-07-28T00:00:00"/>
        <d v="2024-06-26T00:00:00"/>
        <d v="2024-03-02T00:00:00"/>
        <d v="2024-08-14T00:00:00"/>
        <d v="2024-01-27T00:00:00"/>
        <d v="2024-08-04T00:00:00"/>
        <d v="2024-07-12T00:00:00"/>
        <d v="2024-06-21T00:00:00"/>
        <d v="2024-12-19T00:00:00"/>
        <d v="2024-09-11T00:00:00"/>
        <d v="2024-12-13T00:00:00"/>
        <d v="2024-07-09T00:00:00"/>
        <d v="2024-07-26T00:00:00"/>
        <d v="2024-02-04T00:00:00"/>
        <d v="2024-06-14T00:00:00"/>
        <d v="2024-06-06T00:00:00"/>
        <d v="2024-09-21T00:00:00"/>
        <d v="2024-08-01T00:00:00"/>
        <d v="2024-04-18T00:00:00"/>
        <d v="2024-11-02T00:00:00"/>
        <d v="2024-08-15T00:00:00"/>
        <d v="2024-10-08T00:00:00"/>
        <d v="2024-11-24T00:00:00"/>
        <d v="2024-09-26T00:00:00"/>
        <d v="2024-07-20T00:00:00"/>
        <d v="2024-11-29T00:00:00"/>
        <d v="2024-08-11T00:00:00"/>
        <d v="2024-06-19T00:00:00"/>
        <d v="2024-06-22T00:00:00"/>
        <d v="2024-02-01T00:00:00"/>
        <d v="2024-05-26T00:00:00"/>
        <d v="2024-10-28T00:00:00"/>
        <d v="2024-10-13T00:00:00"/>
        <d v="2024-04-07T00:00:00"/>
        <d v="2024-03-03T00:00:00"/>
        <d v="2024-05-13T00:00:00"/>
        <d v="2024-08-07T00:00:00"/>
        <d v="2024-02-06T00:00:00"/>
        <d v="2024-06-12T00:00:00"/>
        <d v="2024-03-25T00:00:00"/>
        <d v="2024-04-29T00:00:00"/>
        <d v="2024-08-10T00:00:00"/>
        <d v="2024-11-07T00:00:00"/>
        <d v="2024-09-18T00:00:00"/>
        <d v="2024-02-18T00:00:00"/>
        <d v="2024-04-15T00:00:00"/>
        <d v="2024-11-27T00:00:00"/>
        <d v="2024-08-19T00:00:00"/>
        <d v="2024-11-23T00:00:00"/>
        <d v="2024-09-22T00:00:00"/>
        <d v="2024-02-26T00:00:00" u="1"/>
        <d v="2024-07-23T00:00:00" u="1"/>
        <d v="2024-11-17T00:00:00" u="1"/>
        <d v="2024-01-31T00:00:00" u="1"/>
        <d v="2024-10-14T00:00:00" u="1"/>
        <d v="2024-12-28T00:00:00" u="1"/>
        <d v="2024-07-14T00:00:00" u="1"/>
        <d v="2024-08-12T00:00:00" u="1"/>
        <d v="2024-04-19T00:00:00" u="1"/>
        <d v="2024-11-30T00:00:00" u="1"/>
        <d v="2024-01-18T00:00:00" u="1"/>
        <d v="2024-03-07T00:00:00" u="1"/>
        <d v="2024-09-24T00:00:00" u="1"/>
        <d v="2024-08-25T00:00:00" u="1"/>
        <d v="2024-03-08T00:00:00" u="1"/>
        <d v="2024-11-06T00:00:00" u="1"/>
        <d v="2024-09-28T00:00:00" u="1"/>
        <d v="2024-05-15T00:00:00" u="1"/>
        <d v="2024-11-28T00:00:00" u="1"/>
        <d v="2024-07-27T00:00:00" u="1"/>
        <d v="2024-09-05T00:00:00" u="1"/>
        <d v="2024-01-03T00:00:00" u="1"/>
        <d v="2024-05-31T00:00:00" u="1"/>
        <d v="2024-10-23T00:00:00" u="1"/>
        <d v="2024-08-08T00:00:00" u="1"/>
        <d v="2024-07-24T00:00:00" u="1"/>
        <d v="2024-12-06T00:00:00" u="1"/>
        <d v="2024-07-11T00:00:00" u="1"/>
        <d v="2024-09-25T00:00:00" u="1"/>
        <d v="2024-07-08T00:00:00" u="1"/>
        <d v="2024-01-08T00:00:00" u="1"/>
        <d v="2024-10-05T00:00:00" u="1"/>
        <d v="2024-12-26T00:00:00" u="1"/>
        <d v="2024-02-08T00:00:00" u="1"/>
        <d v="2024-10-10T00:00:00" u="1"/>
        <d v="2024-02-28T00:00:00" u="1"/>
        <d v="2024-05-12T00:00:00" u="1"/>
        <d v="2024-01-07T00:00:00" u="1"/>
        <d v="2024-04-12T00:00:00" u="1"/>
        <d v="2024-12-29T00:00:00" u="1"/>
        <d v="2024-12-01T00:00:00" u="1"/>
        <d v="2024-02-17T00:00:00" u="1"/>
        <d v="2024-08-29T00:00:00" u="1"/>
        <d v="2024-09-19T00:00:00" u="1"/>
        <d v="2024-02-07T00:00:00" u="1"/>
        <d v="2024-02-13T00:00:00" u="1"/>
        <d v="2024-05-18T00:00:00" u="1"/>
        <d v="2024-01-13T00:00:00" u="1"/>
        <d v="2024-06-23T00:00:00" u="1"/>
        <d v="2024-05-21T00:00:00" u="1"/>
        <d v="2024-11-11T00:00:00" u="1"/>
        <d v="2024-06-24T00:00:00" u="1"/>
        <d v="2024-07-17T00:00:00" u="1"/>
        <d v="2024-07-05T00:00:00" u="1"/>
        <d v="2024-02-03T00:00:00" u="1"/>
        <d v="2024-09-12T00:00:00" u="1"/>
        <d v="2024-03-10T00:00:00" u="1"/>
        <d v="2024-08-06T00:00:00" u="1"/>
        <d v="2024-07-03T00:00:00" u="1"/>
        <d v="2024-11-10T00:00:00" u="1"/>
        <d v="2024-07-29T00:00:00" u="1"/>
        <d v="2024-05-01T00:00:00" u="1"/>
        <d v="2024-03-13T00:00:00" u="1"/>
        <d v="2024-11-25T00:00:00" u="1"/>
        <d v="2024-10-09T00:00:00" u="1"/>
        <d v="2024-02-11T00:00:00" u="1"/>
        <d v="2024-05-04T00:00:00" u="1"/>
        <d v="2024-03-16T00:00:00" u="1"/>
        <d v="2024-01-26T00:00:00" u="1"/>
        <d v="2024-09-15T00:00:00" u="1"/>
        <d v="2024-11-15T00:00:00" u="1"/>
        <d v="2024-09-20T00:00:00" u="1"/>
        <d v="2024-02-25T00:00:00" u="1"/>
        <d v="2024-05-19T00:00:00" u="1"/>
      </sharedItems>
      <fieldGroup par="10"/>
    </cacheField>
    <cacheField name="Category" numFmtId="0">
      <sharedItems count="5">
        <s v="Electronics"/>
        <s v="Accessories"/>
        <s v="Clothing"/>
        <s v="Home Decor"/>
        <s v="Grocery"/>
      </sharedItems>
    </cacheField>
    <cacheField name="Product" numFmtId="0">
      <sharedItems count="15">
        <s v="Earphones"/>
        <s v="Wallet"/>
        <s v="Jacket"/>
        <s v="T-Shirt"/>
        <s v="Sunglasses"/>
        <s v="Vase"/>
        <s v="Rice"/>
        <s v="Oil"/>
        <s v="Belt"/>
        <s v="Lamp"/>
        <s v="Smartwatch"/>
        <s v="Wall Art"/>
        <s v="Jeans"/>
        <s v="Biscuit"/>
        <s v="Mobile"/>
      </sharedItems>
    </cacheField>
    <cacheField name="Region " numFmtId="0">
      <sharedItems count="7">
        <s v="PUNE"/>
        <s v="MUMBAI "/>
        <s v="DELHI"/>
        <s v="SURAT"/>
        <s v="NASHIK"/>
        <s v="NAGPUR"/>
        <s v="Region "/>
      </sharedItems>
    </cacheField>
    <cacheField name="Quantity" numFmtId="1">
      <sharedItems containsSemiMixedTypes="0" containsString="0" containsNumber="1" containsInteger="1" minValue="1" maxValue="5"/>
    </cacheField>
    <cacheField name="Unit Price " numFmtId="164">
      <sharedItems containsSemiMixedTypes="0" containsString="0" containsNumber="1" containsInteger="1" minValue="282" maxValue="9942"/>
    </cacheField>
    <cacheField name="Total Sales " numFmtId="164">
      <sharedItems containsSemiMixedTypes="0" containsString="0" containsNumber="1" containsInteger="1" minValue="499" maxValue="48275"/>
    </cacheField>
    <cacheField name="Mode" numFmtId="0">
      <sharedItems/>
    </cacheField>
    <cacheField name="Days (Date)" numFmtId="0" databaseField="0">
      <fieldGroup base="1">
        <rangePr groupBy="days" startDate="2024-01-05T00:00:00" endDate="2024-12-21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2-2024"/>
        </groupItems>
      </fieldGroup>
    </cacheField>
    <cacheField name="Months (Date)" numFmtId="0" databaseField="0">
      <fieldGroup base="1">
        <rangePr groupBy="months" startDate="2024-01-05T00:00:00" endDate="2024-12-21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n v="1"/>
    <n v="499"/>
    <n v="499"/>
    <s v="Cash"/>
  </r>
  <r>
    <n v="2"/>
    <x v="1"/>
    <x v="1"/>
    <x v="1"/>
    <x v="1"/>
    <n v="5"/>
    <n v="600"/>
    <n v="3000"/>
    <s v="online"/>
  </r>
  <r>
    <n v="3"/>
    <x v="2"/>
    <x v="2"/>
    <x v="2"/>
    <x v="2"/>
    <n v="3"/>
    <n v="5239"/>
    <n v="15717"/>
    <s v="Cash"/>
  </r>
  <r>
    <n v="4"/>
    <x v="3"/>
    <x v="2"/>
    <x v="3"/>
    <x v="3"/>
    <n v="4"/>
    <n v="2165"/>
    <n v="8660"/>
    <s v="Cash"/>
  </r>
  <r>
    <n v="5"/>
    <x v="4"/>
    <x v="1"/>
    <x v="4"/>
    <x v="4"/>
    <n v="3"/>
    <n v="1772"/>
    <n v="5316"/>
    <s v="online"/>
  </r>
  <r>
    <n v="6"/>
    <x v="5"/>
    <x v="3"/>
    <x v="5"/>
    <x v="5"/>
    <n v="3"/>
    <n v="2633"/>
    <n v="7899"/>
    <s v="Cash"/>
  </r>
  <r>
    <n v="7"/>
    <x v="6"/>
    <x v="4"/>
    <x v="6"/>
    <x v="0"/>
    <n v="4"/>
    <n v="4145"/>
    <n v="16580"/>
    <s v="Cash"/>
  </r>
  <r>
    <n v="8"/>
    <x v="7"/>
    <x v="4"/>
    <x v="6"/>
    <x v="1"/>
    <n v="3"/>
    <n v="8480"/>
    <n v="25440"/>
    <s v="Cash"/>
  </r>
  <r>
    <n v="9"/>
    <x v="8"/>
    <x v="4"/>
    <x v="7"/>
    <x v="2"/>
    <n v="4"/>
    <n v="5539"/>
    <n v="22156"/>
    <s v="Cash"/>
  </r>
  <r>
    <n v="10"/>
    <x v="9"/>
    <x v="4"/>
    <x v="7"/>
    <x v="3"/>
    <n v="2"/>
    <n v="8443"/>
    <n v="16886"/>
    <s v="Cash"/>
  </r>
  <r>
    <n v="11"/>
    <x v="10"/>
    <x v="1"/>
    <x v="8"/>
    <x v="4"/>
    <n v="5"/>
    <n v="9404"/>
    <n v="47020"/>
    <s v="Cash"/>
  </r>
  <r>
    <n v="12"/>
    <x v="11"/>
    <x v="1"/>
    <x v="1"/>
    <x v="5"/>
    <n v="1"/>
    <n v="6813"/>
    <n v="6813"/>
    <s v="Cash"/>
  </r>
  <r>
    <n v="13"/>
    <x v="12"/>
    <x v="4"/>
    <x v="7"/>
    <x v="0"/>
    <n v="2"/>
    <n v="9913"/>
    <n v="19826"/>
    <s v="Cash"/>
  </r>
  <r>
    <n v="14"/>
    <x v="13"/>
    <x v="3"/>
    <x v="9"/>
    <x v="1"/>
    <n v="4"/>
    <n v="329"/>
    <n v="1316"/>
    <s v="Cash"/>
  </r>
  <r>
    <n v="15"/>
    <x v="14"/>
    <x v="2"/>
    <x v="2"/>
    <x v="2"/>
    <n v="2"/>
    <n v="7578"/>
    <n v="15156"/>
    <s v="Cash"/>
  </r>
  <r>
    <n v="16"/>
    <x v="15"/>
    <x v="3"/>
    <x v="9"/>
    <x v="3"/>
    <n v="2"/>
    <n v="3867"/>
    <n v="7734"/>
    <s v="Cash"/>
  </r>
  <r>
    <n v="17"/>
    <x v="16"/>
    <x v="0"/>
    <x v="10"/>
    <x v="4"/>
    <n v="3"/>
    <n v="6029"/>
    <n v="18087"/>
    <s v="Cash"/>
  </r>
  <r>
    <n v="18"/>
    <x v="17"/>
    <x v="1"/>
    <x v="4"/>
    <x v="5"/>
    <n v="4"/>
    <n v="9776"/>
    <n v="39104"/>
    <s v="Cash"/>
  </r>
  <r>
    <n v="19"/>
    <x v="18"/>
    <x v="2"/>
    <x v="3"/>
    <x v="0"/>
    <n v="3"/>
    <n v="9052"/>
    <n v="27156"/>
    <s v="Cash"/>
  </r>
  <r>
    <n v="20"/>
    <x v="19"/>
    <x v="3"/>
    <x v="5"/>
    <x v="1"/>
    <n v="3"/>
    <n v="3202"/>
    <n v="9606"/>
    <s v="Cash"/>
  </r>
  <r>
    <n v="21"/>
    <x v="20"/>
    <x v="3"/>
    <x v="11"/>
    <x v="2"/>
    <n v="3"/>
    <n v="5363"/>
    <n v="16089"/>
    <s v="Cash"/>
  </r>
  <r>
    <n v="22"/>
    <x v="21"/>
    <x v="1"/>
    <x v="8"/>
    <x v="3"/>
    <n v="5"/>
    <n v="9655"/>
    <n v="48275"/>
    <s v="Cash"/>
  </r>
  <r>
    <n v="23"/>
    <x v="22"/>
    <x v="1"/>
    <x v="1"/>
    <x v="4"/>
    <n v="4"/>
    <n v="3949"/>
    <n v="15796"/>
    <s v="Cash"/>
  </r>
  <r>
    <n v="24"/>
    <x v="23"/>
    <x v="1"/>
    <x v="4"/>
    <x v="5"/>
    <n v="3"/>
    <n v="5815"/>
    <n v="17445"/>
    <s v="online"/>
  </r>
  <r>
    <n v="25"/>
    <x v="24"/>
    <x v="4"/>
    <x v="6"/>
    <x v="0"/>
    <n v="3"/>
    <n v="9688"/>
    <n v="29064"/>
    <s v="online"/>
  </r>
  <r>
    <n v="26"/>
    <x v="25"/>
    <x v="4"/>
    <x v="7"/>
    <x v="1"/>
    <n v="2"/>
    <n v="5430"/>
    <n v="10860"/>
    <s v="online"/>
  </r>
  <r>
    <n v="27"/>
    <x v="26"/>
    <x v="3"/>
    <x v="5"/>
    <x v="2"/>
    <n v="4"/>
    <n v="7411"/>
    <n v="29644"/>
    <s v="online"/>
  </r>
  <r>
    <n v="28"/>
    <x v="27"/>
    <x v="1"/>
    <x v="1"/>
    <x v="3"/>
    <n v="4"/>
    <n v="4543"/>
    <n v="18172"/>
    <s v="online"/>
  </r>
  <r>
    <n v="29"/>
    <x v="28"/>
    <x v="1"/>
    <x v="8"/>
    <x v="4"/>
    <n v="3"/>
    <n v="2528"/>
    <n v="7584"/>
    <s v="Cash"/>
  </r>
  <r>
    <n v="30"/>
    <x v="29"/>
    <x v="2"/>
    <x v="2"/>
    <x v="5"/>
    <n v="2"/>
    <n v="1897"/>
    <n v="3794"/>
    <s v="online"/>
  </r>
  <r>
    <n v="31"/>
    <x v="30"/>
    <x v="3"/>
    <x v="9"/>
    <x v="0"/>
    <n v="3"/>
    <n v="8902"/>
    <n v="26706"/>
    <s v="online"/>
  </r>
  <r>
    <n v="32"/>
    <x v="31"/>
    <x v="3"/>
    <x v="11"/>
    <x v="1"/>
    <n v="4"/>
    <n v="7884"/>
    <n v="31536"/>
    <s v="Cash"/>
  </r>
  <r>
    <n v="33"/>
    <x v="32"/>
    <x v="2"/>
    <x v="3"/>
    <x v="2"/>
    <n v="3"/>
    <n v="8630"/>
    <n v="25890"/>
    <s v="online"/>
  </r>
  <r>
    <n v="34"/>
    <x v="33"/>
    <x v="0"/>
    <x v="10"/>
    <x v="3"/>
    <n v="1"/>
    <n v="9428"/>
    <n v="9428"/>
    <s v="online"/>
  </r>
  <r>
    <n v="35"/>
    <x v="34"/>
    <x v="3"/>
    <x v="5"/>
    <x v="4"/>
    <n v="2"/>
    <n v="2961"/>
    <n v="5922"/>
    <s v="online"/>
  </r>
  <r>
    <n v="36"/>
    <x v="35"/>
    <x v="4"/>
    <x v="7"/>
    <x v="5"/>
    <n v="1"/>
    <n v="8722"/>
    <n v="8722"/>
    <s v="Cash"/>
  </r>
  <r>
    <n v="37"/>
    <x v="36"/>
    <x v="0"/>
    <x v="0"/>
    <x v="0"/>
    <n v="5"/>
    <n v="8118"/>
    <n v="40590"/>
    <s v="Cash"/>
  </r>
  <r>
    <n v="38"/>
    <x v="37"/>
    <x v="0"/>
    <x v="10"/>
    <x v="1"/>
    <n v="5"/>
    <n v="2946"/>
    <n v="14730"/>
    <s v="Cash"/>
  </r>
  <r>
    <n v="39"/>
    <x v="38"/>
    <x v="1"/>
    <x v="8"/>
    <x v="2"/>
    <n v="5"/>
    <n v="8915"/>
    <n v="44575"/>
    <s v="online"/>
  </r>
  <r>
    <n v="40"/>
    <x v="39"/>
    <x v="4"/>
    <x v="7"/>
    <x v="3"/>
    <n v="2"/>
    <n v="8731"/>
    <n v="17462"/>
    <s v="online"/>
  </r>
  <r>
    <n v="41"/>
    <x v="40"/>
    <x v="0"/>
    <x v="10"/>
    <x v="4"/>
    <n v="3"/>
    <n v="5011"/>
    <n v="15033"/>
    <s v="online"/>
  </r>
  <r>
    <n v="42"/>
    <x v="41"/>
    <x v="0"/>
    <x v="10"/>
    <x v="5"/>
    <n v="2"/>
    <n v="868"/>
    <n v="1736"/>
    <s v="online"/>
  </r>
  <r>
    <n v="43"/>
    <x v="0"/>
    <x v="3"/>
    <x v="9"/>
    <x v="6"/>
    <n v="3"/>
    <n v="7922"/>
    <n v="23766"/>
    <s v="online"/>
  </r>
  <r>
    <n v="44"/>
    <x v="42"/>
    <x v="2"/>
    <x v="12"/>
    <x v="0"/>
    <n v="1"/>
    <n v="742"/>
    <n v="742"/>
    <s v="online"/>
  </r>
  <r>
    <n v="45"/>
    <x v="43"/>
    <x v="3"/>
    <x v="9"/>
    <x v="1"/>
    <n v="4"/>
    <n v="2273"/>
    <n v="9092"/>
    <s v="online"/>
  </r>
  <r>
    <n v="46"/>
    <x v="44"/>
    <x v="1"/>
    <x v="1"/>
    <x v="2"/>
    <n v="1"/>
    <n v="6423"/>
    <n v="6423"/>
    <s v="online"/>
  </r>
  <r>
    <n v="47"/>
    <x v="45"/>
    <x v="4"/>
    <x v="6"/>
    <x v="3"/>
    <n v="4"/>
    <n v="8268"/>
    <n v="33072"/>
    <s v="online"/>
  </r>
  <r>
    <n v="48"/>
    <x v="46"/>
    <x v="4"/>
    <x v="7"/>
    <x v="4"/>
    <n v="3"/>
    <n v="599"/>
    <n v="1797"/>
    <s v="online"/>
  </r>
  <r>
    <n v="49"/>
    <x v="47"/>
    <x v="4"/>
    <x v="7"/>
    <x v="5"/>
    <n v="2"/>
    <n v="3572"/>
    <n v="7144"/>
    <s v="online"/>
  </r>
  <r>
    <n v="50"/>
    <x v="48"/>
    <x v="3"/>
    <x v="9"/>
    <x v="0"/>
    <n v="4"/>
    <n v="7632"/>
    <n v="30528"/>
    <s v="online"/>
  </r>
  <r>
    <n v="51"/>
    <x v="49"/>
    <x v="0"/>
    <x v="0"/>
    <x v="1"/>
    <n v="3"/>
    <n v="3629"/>
    <n v="10887"/>
    <s v="online"/>
  </r>
  <r>
    <n v="52"/>
    <x v="50"/>
    <x v="3"/>
    <x v="9"/>
    <x v="2"/>
    <n v="5"/>
    <n v="7907"/>
    <n v="39535"/>
    <s v="online"/>
  </r>
  <r>
    <n v="53"/>
    <x v="51"/>
    <x v="4"/>
    <x v="13"/>
    <x v="3"/>
    <n v="2"/>
    <n v="3114"/>
    <n v="6228"/>
    <s v="Cash"/>
  </r>
  <r>
    <n v="54"/>
    <x v="52"/>
    <x v="0"/>
    <x v="0"/>
    <x v="4"/>
    <n v="3"/>
    <n v="2908"/>
    <n v="8724"/>
    <s v="Cash"/>
  </r>
  <r>
    <n v="55"/>
    <x v="53"/>
    <x v="2"/>
    <x v="2"/>
    <x v="5"/>
    <n v="5"/>
    <n v="8216"/>
    <n v="41080"/>
    <s v="Cash"/>
  </r>
  <r>
    <n v="56"/>
    <x v="54"/>
    <x v="0"/>
    <x v="0"/>
    <x v="0"/>
    <n v="2"/>
    <n v="9760"/>
    <n v="19520"/>
    <s v="Cash"/>
  </r>
  <r>
    <n v="57"/>
    <x v="55"/>
    <x v="1"/>
    <x v="8"/>
    <x v="1"/>
    <n v="3"/>
    <n v="8018"/>
    <n v="24054"/>
    <s v="Cash"/>
  </r>
  <r>
    <n v="58"/>
    <x v="56"/>
    <x v="4"/>
    <x v="6"/>
    <x v="2"/>
    <n v="1"/>
    <n v="1807"/>
    <n v="1807"/>
    <s v="online"/>
  </r>
  <r>
    <n v="59"/>
    <x v="57"/>
    <x v="4"/>
    <x v="6"/>
    <x v="3"/>
    <n v="3"/>
    <n v="4903"/>
    <n v="14709"/>
    <s v="Cash"/>
  </r>
  <r>
    <n v="60"/>
    <x v="58"/>
    <x v="0"/>
    <x v="14"/>
    <x v="4"/>
    <n v="2"/>
    <n v="823"/>
    <n v="1646"/>
    <s v="Cash"/>
  </r>
  <r>
    <n v="61"/>
    <x v="59"/>
    <x v="3"/>
    <x v="9"/>
    <x v="5"/>
    <n v="5"/>
    <n v="8464"/>
    <n v="42320"/>
    <s v="Cash"/>
  </r>
  <r>
    <n v="62"/>
    <x v="60"/>
    <x v="3"/>
    <x v="5"/>
    <x v="0"/>
    <n v="2"/>
    <n v="9942"/>
    <n v="19884"/>
    <s v="online"/>
  </r>
  <r>
    <n v="63"/>
    <x v="61"/>
    <x v="0"/>
    <x v="10"/>
    <x v="1"/>
    <n v="5"/>
    <n v="1636"/>
    <n v="8180"/>
    <s v="online"/>
  </r>
  <r>
    <n v="64"/>
    <x v="62"/>
    <x v="4"/>
    <x v="7"/>
    <x v="2"/>
    <n v="5"/>
    <n v="429"/>
    <n v="2145"/>
    <s v="online"/>
  </r>
  <r>
    <n v="65"/>
    <x v="53"/>
    <x v="3"/>
    <x v="5"/>
    <x v="3"/>
    <n v="5"/>
    <n v="4265"/>
    <n v="21325"/>
    <s v="online"/>
  </r>
  <r>
    <n v="66"/>
    <x v="55"/>
    <x v="1"/>
    <x v="4"/>
    <x v="4"/>
    <n v="4"/>
    <n v="6147"/>
    <n v="24588"/>
    <s v="online"/>
  </r>
  <r>
    <n v="67"/>
    <x v="63"/>
    <x v="1"/>
    <x v="4"/>
    <x v="5"/>
    <n v="3"/>
    <n v="2734"/>
    <n v="8202"/>
    <s v="Cash"/>
  </r>
  <r>
    <n v="68"/>
    <x v="64"/>
    <x v="3"/>
    <x v="11"/>
    <x v="0"/>
    <n v="3"/>
    <n v="1637"/>
    <n v="4911"/>
    <s v="Cash"/>
  </r>
  <r>
    <n v="69"/>
    <x v="65"/>
    <x v="4"/>
    <x v="6"/>
    <x v="1"/>
    <n v="3"/>
    <n v="7332"/>
    <n v="21996"/>
    <s v="Cash"/>
  </r>
  <r>
    <n v="70"/>
    <x v="29"/>
    <x v="1"/>
    <x v="4"/>
    <x v="2"/>
    <n v="1"/>
    <n v="9335"/>
    <n v="9335"/>
    <s v="Cash"/>
  </r>
  <r>
    <n v="71"/>
    <x v="66"/>
    <x v="0"/>
    <x v="14"/>
    <x v="3"/>
    <n v="2"/>
    <n v="6922"/>
    <n v="13844"/>
    <s v="Cash"/>
  </r>
  <r>
    <n v="72"/>
    <x v="67"/>
    <x v="1"/>
    <x v="4"/>
    <x v="4"/>
    <n v="1"/>
    <n v="2487"/>
    <n v="2487"/>
    <s v="Cash"/>
  </r>
  <r>
    <n v="73"/>
    <x v="53"/>
    <x v="2"/>
    <x v="12"/>
    <x v="5"/>
    <n v="5"/>
    <n v="7865"/>
    <n v="39325"/>
    <s v="Cash"/>
  </r>
  <r>
    <n v="74"/>
    <x v="48"/>
    <x v="3"/>
    <x v="11"/>
    <x v="0"/>
    <n v="3"/>
    <n v="282"/>
    <n v="846"/>
    <s v="online"/>
  </r>
  <r>
    <n v="75"/>
    <x v="68"/>
    <x v="2"/>
    <x v="2"/>
    <x v="1"/>
    <n v="4"/>
    <n v="5555"/>
    <n v="22220"/>
    <s v="online"/>
  </r>
  <r>
    <n v="76"/>
    <x v="69"/>
    <x v="2"/>
    <x v="3"/>
    <x v="2"/>
    <n v="4"/>
    <n v="635"/>
    <n v="2540"/>
    <s v="online"/>
  </r>
  <r>
    <n v="77"/>
    <x v="70"/>
    <x v="0"/>
    <x v="14"/>
    <x v="3"/>
    <n v="3"/>
    <n v="642"/>
    <n v="1926"/>
    <s v="online"/>
  </r>
  <r>
    <n v="78"/>
    <x v="71"/>
    <x v="2"/>
    <x v="2"/>
    <x v="4"/>
    <n v="4"/>
    <n v="9861"/>
    <n v="39444"/>
    <s v="Cash"/>
  </r>
  <r>
    <n v="79"/>
    <x v="72"/>
    <x v="0"/>
    <x v="14"/>
    <x v="5"/>
    <n v="5"/>
    <n v="7769"/>
    <n v="38845"/>
    <s v="Cash"/>
  </r>
  <r>
    <n v="80"/>
    <x v="73"/>
    <x v="0"/>
    <x v="10"/>
    <x v="0"/>
    <n v="2"/>
    <n v="9803"/>
    <n v="19606"/>
    <s v="Cash"/>
  </r>
  <r>
    <n v="81"/>
    <x v="74"/>
    <x v="1"/>
    <x v="8"/>
    <x v="1"/>
    <n v="5"/>
    <n v="1266"/>
    <n v="6330"/>
    <s v="Cash"/>
  </r>
  <r>
    <n v="82"/>
    <x v="75"/>
    <x v="3"/>
    <x v="5"/>
    <x v="2"/>
    <n v="4"/>
    <n v="7335"/>
    <n v="29340"/>
    <s v="Cash"/>
  </r>
  <r>
    <n v="83"/>
    <x v="76"/>
    <x v="4"/>
    <x v="7"/>
    <x v="3"/>
    <n v="2"/>
    <n v="1936"/>
    <n v="3872"/>
    <s v="online"/>
  </r>
  <r>
    <n v="84"/>
    <x v="77"/>
    <x v="2"/>
    <x v="12"/>
    <x v="4"/>
    <n v="3"/>
    <n v="6253"/>
    <n v="18759"/>
    <s v="online"/>
  </r>
  <r>
    <n v="85"/>
    <x v="20"/>
    <x v="1"/>
    <x v="8"/>
    <x v="5"/>
    <n v="5"/>
    <n v="8172"/>
    <n v="40860"/>
    <s v="online"/>
  </r>
  <r>
    <n v="86"/>
    <x v="78"/>
    <x v="2"/>
    <x v="2"/>
    <x v="1"/>
    <n v="2"/>
    <n v="4690"/>
    <n v="9380"/>
    <s v="online"/>
  </r>
  <r>
    <n v="87"/>
    <x v="79"/>
    <x v="1"/>
    <x v="8"/>
    <x v="2"/>
    <n v="3"/>
    <n v="9244"/>
    <n v="27732"/>
    <s v="Cash"/>
  </r>
  <r>
    <n v="88"/>
    <x v="80"/>
    <x v="0"/>
    <x v="10"/>
    <x v="3"/>
    <n v="5"/>
    <n v="8568"/>
    <n v="42840"/>
    <s v="Cash"/>
  </r>
  <r>
    <n v="89"/>
    <x v="29"/>
    <x v="4"/>
    <x v="6"/>
    <x v="4"/>
    <n v="4"/>
    <n v="7365"/>
    <n v="29460"/>
    <s v="Cash"/>
  </r>
  <r>
    <n v="90"/>
    <x v="81"/>
    <x v="4"/>
    <x v="13"/>
    <x v="5"/>
    <n v="4"/>
    <n v="5305"/>
    <n v="21220"/>
    <s v="Cash"/>
  </r>
  <r>
    <n v="91"/>
    <x v="82"/>
    <x v="2"/>
    <x v="12"/>
    <x v="0"/>
    <n v="3"/>
    <n v="9172"/>
    <n v="27516"/>
    <s v="Cash"/>
  </r>
  <r>
    <n v="92"/>
    <x v="83"/>
    <x v="1"/>
    <x v="8"/>
    <x v="1"/>
    <n v="3"/>
    <n v="2405"/>
    <n v="7215"/>
    <s v="Cash"/>
  </r>
  <r>
    <n v="93"/>
    <x v="84"/>
    <x v="4"/>
    <x v="7"/>
    <x v="2"/>
    <n v="3"/>
    <n v="2692"/>
    <n v="8076"/>
    <s v="online"/>
  </r>
  <r>
    <n v="94"/>
    <x v="85"/>
    <x v="3"/>
    <x v="9"/>
    <x v="3"/>
    <n v="3"/>
    <n v="2115"/>
    <n v="6345"/>
    <s v="online"/>
  </r>
  <r>
    <n v="95"/>
    <x v="86"/>
    <x v="3"/>
    <x v="5"/>
    <x v="4"/>
    <n v="3"/>
    <n v="637"/>
    <n v="1911"/>
    <s v="online"/>
  </r>
  <r>
    <n v="96"/>
    <x v="87"/>
    <x v="0"/>
    <x v="10"/>
    <x v="5"/>
    <n v="3"/>
    <n v="5813"/>
    <n v="17439"/>
    <s v="online"/>
  </r>
  <r>
    <n v="97"/>
    <x v="88"/>
    <x v="3"/>
    <x v="5"/>
    <x v="0"/>
    <n v="5"/>
    <n v="3524"/>
    <n v="17620"/>
    <s v="online"/>
  </r>
  <r>
    <n v="98"/>
    <x v="89"/>
    <x v="4"/>
    <x v="6"/>
    <x v="1"/>
    <n v="2"/>
    <n v="1594"/>
    <n v="3188"/>
    <s v="Cash"/>
  </r>
  <r>
    <n v="99"/>
    <x v="42"/>
    <x v="1"/>
    <x v="4"/>
    <x v="2"/>
    <n v="5"/>
    <n v="564"/>
    <n v="2820"/>
    <s v="online"/>
  </r>
  <r>
    <n v="100"/>
    <x v="15"/>
    <x v="1"/>
    <x v="4"/>
    <x v="3"/>
    <n v="1"/>
    <n v="5952"/>
    <n v="5952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BBBEA-4DC4-4144-8FE2-56E4AE612938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axis="axisRow" numFmtId="14" showAll="0">
      <items count="165">
        <item m="1" x="111"/>
        <item m="1" x="127"/>
        <item m="1" x="120"/>
        <item x="26"/>
        <item m="1" x="137"/>
        <item m="1" x="100"/>
        <item m="1" x="158"/>
        <item m="1" x="93"/>
        <item m="1" x="144"/>
        <item m="1" x="134"/>
        <item m="1" x="123"/>
        <item m="1" x="155"/>
        <item m="1" x="135"/>
        <item x="24"/>
        <item m="1" x="131"/>
        <item x="21"/>
        <item m="1" x="162"/>
        <item m="1" x="90"/>
        <item m="1" x="125"/>
        <item x="42"/>
        <item m="1" x="101"/>
        <item m="1" x="104"/>
        <item m="1" x="146"/>
        <item m="1" x="152"/>
        <item m="1" x="157"/>
        <item x="79"/>
        <item m="1" x="128"/>
        <item m="1" x="98"/>
        <item x="10"/>
        <item m="1" x="151"/>
        <item m="1" x="156"/>
        <item x="12"/>
        <item m="1" x="126"/>
        <item m="1" x="107"/>
        <item m="1" x="136"/>
        <item m="1" x="163"/>
        <item m="1" x="139"/>
        <item x="70"/>
        <item x="32"/>
        <item m="1" x="112"/>
        <item m="1" x="138"/>
        <item m="1" x="141"/>
        <item x="41"/>
        <item m="1" x="148"/>
        <item m="1" x="143"/>
        <item m="1" x="119"/>
        <item m="1" x="117"/>
        <item m="1" x="96"/>
        <item m="1" x="142"/>
        <item m="1" x="91"/>
        <item m="1" x="115"/>
        <item m="1" x="109"/>
        <item x="40"/>
        <item m="1" x="150"/>
        <item x="18"/>
        <item m="1" x="147"/>
        <item m="1" x="114"/>
        <item m="1" x="97"/>
        <item x="60"/>
        <item m="1" x="103"/>
        <item m="1" x="132"/>
        <item x="15"/>
        <item m="1" x="110"/>
        <item x="49"/>
        <item m="1" x="145"/>
        <item m="1" x="159"/>
        <item m="1" x="133"/>
        <item m="1" x="161"/>
        <item m="1" x="102"/>
        <item m="1" x="118"/>
        <item x="63"/>
        <item m="1" x="106"/>
        <item x="4"/>
        <item m="1" x="121"/>
        <item m="1" x="154"/>
        <item m="1" x="124"/>
        <item m="1" x="94"/>
        <item m="1" x="113"/>
        <item x="59"/>
        <item m="1" x="105"/>
        <item m="1" x="149"/>
        <item m="1" x="140"/>
        <item m="1" x="160"/>
        <item m="1" x="92"/>
        <item x="62"/>
        <item m="1" x="153"/>
        <item m="1" x="108"/>
        <item m="1" x="99"/>
        <item m="1" x="130"/>
        <item m="1" x="116"/>
        <item m="1" x="122"/>
        <item m="1" x="95"/>
        <item m="1" x="129"/>
        <item x="0"/>
        <item x="1"/>
        <item x="2"/>
        <item x="3"/>
        <item x="5"/>
        <item x="6"/>
        <item x="7"/>
        <item x="8"/>
        <item x="9"/>
        <item x="11"/>
        <item x="13"/>
        <item x="14"/>
        <item x="16"/>
        <item x="17"/>
        <item x="19"/>
        <item x="20"/>
        <item x="22"/>
        <item x="23"/>
        <item x="25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1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numFmtId="1" showAll="0"/>
    <pivotField numFmtId="164" showAll="0"/>
    <pivotField dataField="1" numFmtId="164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 sortType="a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0"/>
    <field x="9"/>
    <field x="1"/>
  </rowFields>
  <rowItems count="13">
    <i>
      <x v="7"/>
    </i>
    <i>
      <x v="1"/>
    </i>
    <i>
      <x v="3"/>
    </i>
    <i>
      <x v="9"/>
    </i>
    <i>
      <x v="5"/>
    </i>
    <i>
      <x v="4"/>
    </i>
    <i>
      <x v="11"/>
    </i>
    <i>
      <x v="6"/>
    </i>
    <i>
      <x v="12"/>
    </i>
    <i>
      <x v="10"/>
    </i>
    <i>
      <x v="8"/>
    </i>
    <i>
      <x v="2"/>
    </i>
    <i t="grand">
      <x/>
    </i>
  </rowItems>
  <colItems count="1">
    <i/>
  </colItems>
  <dataFields count="1">
    <dataField name="Sum of Total Sales " fld="7" baseField="0" baseItem="0" numFmtId="164"/>
  </dataFields>
  <formats count="19">
    <format dxfId="40">
      <pivotArea collapsedLevelsAreSubtotals="1" fieldPosition="0">
        <references count="1">
          <reference field="10" count="1">
            <x v="6"/>
          </reference>
        </references>
      </pivotArea>
    </format>
    <format dxfId="39">
      <pivotArea collapsedLevelsAreSubtotals="1" fieldPosition="0">
        <references count="1">
          <reference field="10" count="1">
            <x v="4"/>
          </reference>
        </references>
      </pivotArea>
    </format>
    <format dxfId="38">
      <pivotArea collapsedLevelsAreSubtotals="1" fieldPosition="0">
        <references count="1">
          <reference field="10" count="1">
            <x v="10"/>
          </reference>
        </references>
      </pivotArea>
    </format>
    <format dxfId="37">
      <pivotArea collapsedLevelsAreSubtotals="1" fieldPosition="0">
        <references count="1">
          <reference field="10" count="1">
            <x v="6"/>
          </reference>
        </references>
      </pivotArea>
    </format>
    <format dxfId="36">
      <pivotArea collapsedLevelsAreSubtotals="1" fieldPosition="0">
        <references count="1">
          <reference field="10" count="1">
            <x v="4"/>
          </reference>
        </references>
      </pivotArea>
    </format>
    <format dxfId="35">
      <pivotArea collapsedLevelsAreSubtotals="1" fieldPosition="0">
        <references count="1">
          <reference field="10" count="1">
            <x v="10"/>
          </reference>
        </references>
      </pivotArea>
    </format>
    <format dxfId="33">
      <pivotArea collapsedLevelsAreSubtotals="1" fieldPosition="0">
        <references count="1">
          <reference field="10" count="1">
            <x v="11"/>
          </reference>
        </references>
      </pivotArea>
    </format>
    <format dxfId="31">
      <pivotArea collapsedLevelsAreSubtotals="1" fieldPosition="0">
        <references count="1">
          <reference field="10" count="1">
            <x v="8"/>
          </reference>
        </references>
      </pivotArea>
    </format>
    <format dxfId="29">
      <pivotArea collapsedLevelsAreSubtotals="1" fieldPosition="0">
        <references count="1">
          <reference field="10" count="1">
            <x v="12"/>
          </reference>
        </references>
      </pivotArea>
    </format>
    <format dxfId="28">
      <pivotArea collapsedLevelsAreSubtotals="1" fieldPosition="0">
        <references count="1">
          <reference field="10" count="1">
            <x v="3"/>
          </reference>
        </references>
      </pivotArea>
    </format>
    <format dxfId="27">
      <pivotArea collapsedLevelsAreSubtotals="1" fieldPosition="0">
        <references count="1">
          <reference field="10" count="1">
            <x v="5"/>
          </reference>
        </references>
      </pivotArea>
    </format>
    <format dxfId="26">
      <pivotArea collapsedLevelsAreSubtotals="1" fieldPosition="0">
        <references count="1">
          <reference field="10" count="1">
            <x v="1"/>
          </reference>
        </references>
      </pivotArea>
    </format>
    <format dxfId="25">
      <pivotArea collapsedLevelsAreSubtotals="1" fieldPosition="0">
        <references count="1">
          <reference field="10" count="1">
            <x v="12"/>
          </reference>
        </references>
      </pivotArea>
    </format>
    <format dxfId="24">
      <pivotArea collapsedLevelsAreSubtotals="1" fieldPosition="0">
        <references count="1">
          <reference field="10" count="1">
            <x v="3"/>
          </reference>
        </references>
      </pivotArea>
    </format>
    <format dxfId="23">
      <pivotArea collapsedLevelsAreSubtotals="1" fieldPosition="0">
        <references count="1">
          <reference field="10" count="1">
            <x v="5"/>
          </reference>
        </references>
      </pivotArea>
    </format>
    <format dxfId="22">
      <pivotArea collapsedLevelsAreSubtotals="1" fieldPosition="0">
        <references count="1">
          <reference field="10" count="1">
            <x v="1"/>
          </reference>
        </references>
      </pivotArea>
    </format>
    <format dxfId="21">
      <pivotArea collapsedLevelsAreSubtotals="1" fieldPosition="0">
        <references count="1">
          <reference field="10" count="1">
            <x v="7"/>
          </reference>
        </references>
      </pivotArea>
    </format>
    <format dxfId="20">
      <pivotArea collapsedLevelsAreSubtotals="1" fieldPosition="0">
        <references count="1">
          <reference field="10" count="1">
            <x v="9"/>
          </reference>
        </references>
      </pivotArea>
    </format>
    <format dxfId="19">
      <pivotArea collapsedLevelsAreSubtotals="1" fieldPosition="0">
        <references count="1">
          <reference field="1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05C5D-9717-4A66-BB5F-3A7C1F325AB1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1">
    <pivotField showAll="0"/>
    <pivotField numFmtId="14" showAll="0">
      <items count="165">
        <item m="1" x="111"/>
        <item m="1" x="127"/>
        <item m="1" x="120"/>
        <item x="26"/>
        <item m="1" x="137"/>
        <item m="1" x="100"/>
        <item m="1" x="158"/>
        <item m="1" x="93"/>
        <item m="1" x="144"/>
        <item m="1" x="134"/>
        <item m="1" x="123"/>
        <item m="1" x="155"/>
        <item m="1" x="135"/>
        <item x="24"/>
        <item m="1" x="131"/>
        <item x="21"/>
        <item m="1" x="162"/>
        <item m="1" x="90"/>
        <item m="1" x="125"/>
        <item x="42"/>
        <item m="1" x="101"/>
        <item m="1" x="104"/>
        <item m="1" x="146"/>
        <item m="1" x="152"/>
        <item m="1" x="157"/>
        <item x="79"/>
        <item m="1" x="128"/>
        <item m="1" x="98"/>
        <item x="10"/>
        <item m="1" x="151"/>
        <item m="1" x="156"/>
        <item x="12"/>
        <item m="1" x="126"/>
        <item m="1" x="107"/>
        <item m="1" x="136"/>
        <item m="1" x="163"/>
        <item m="1" x="139"/>
        <item x="70"/>
        <item x="32"/>
        <item m="1" x="112"/>
        <item m="1" x="138"/>
        <item m="1" x="141"/>
        <item x="41"/>
        <item m="1" x="148"/>
        <item m="1" x="143"/>
        <item m="1" x="119"/>
        <item m="1" x="117"/>
        <item m="1" x="96"/>
        <item m="1" x="142"/>
        <item m="1" x="91"/>
        <item m="1" x="115"/>
        <item m="1" x="109"/>
        <item x="40"/>
        <item m="1" x="150"/>
        <item x="18"/>
        <item m="1" x="147"/>
        <item m="1" x="114"/>
        <item m="1" x="97"/>
        <item x="60"/>
        <item m="1" x="103"/>
        <item m="1" x="132"/>
        <item x="15"/>
        <item m="1" x="110"/>
        <item x="49"/>
        <item m="1" x="145"/>
        <item m="1" x="159"/>
        <item m="1" x="133"/>
        <item m="1" x="161"/>
        <item m="1" x="102"/>
        <item m="1" x="118"/>
        <item x="63"/>
        <item m="1" x="106"/>
        <item x="4"/>
        <item m="1" x="121"/>
        <item m="1" x="154"/>
        <item m="1" x="124"/>
        <item m="1" x="94"/>
        <item m="1" x="113"/>
        <item x="59"/>
        <item m="1" x="105"/>
        <item m="1" x="149"/>
        <item m="1" x="140"/>
        <item m="1" x="160"/>
        <item m="1" x="92"/>
        <item x="62"/>
        <item m="1" x="153"/>
        <item m="1" x="108"/>
        <item m="1" x="99"/>
        <item m="1" x="130"/>
        <item m="1" x="116"/>
        <item m="1" x="122"/>
        <item m="1" x="95"/>
        <item m="1" x="129"/>
        <item x="0"/>
        <item x="1"/>
        <item x="2"/>
        <item x="3"/>
        <item x="5"/>
        <item x="6"/>
        <item x="7"/>
        <item x="8"/>
        <item x="9"/>
        <item x="11"/>
        <item x="13"/>
        <item x="14"/>
        <item x="16"/>
        <item x="17"/>
        <item x="19"/>
        <item x="20"/>
        <item x="22"/>
        <item x="23"/>
        <item x="25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1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axis="axisRow" showAll="0">
      <items count="16">
        <item x="8"/>
        <item x="13"/>
        <item x="0"/>
        <item x="2"/>
        <item x="12"/>
        <item x="9"/>
        <item x="14"/>
        <item x="7"/>
        <item x="6"/>
        <item x="10"/>
        <item x="4"/>
        <item x="3"/>
        <item x="5"/>
        <item x="11"/>
        <item x="1"/>
        <item t="default"/>
      </items>
    </pivotField>
    <pivotField showAll="0"/>
    <pivotField numFmtId="1" showAll="0"/>
    <pivotField numFmtId="164" showAll="0"/>
    <pivotField dataField="1" numFmtId="164"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Sales 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36EA5-0AEB-4A77-934F-672588182631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numFmtId="14" showAll="0">
      <items count="165">
        <item m="1" x="111"/>
        <item m="1" x="127"/>
        <item m="1" x="120"/>
        <item x="26"/>
        <item m="1" x="137"/>
        <item m="1" x="100"/>
        <item m="1" x="158"/>
        <item m="1" x="93"/>
        <item m="1" x="144"/>
        <item m="1" x="134"/>
        <item m="1" x="123"/>
        <item m="1" x="155"/>
        <item m="1" x="135"/>
        <item x="24"/>
        <item m="1" x="131"/>
        <item x="21"/>
        <item m="1" x="162"/>
        <item m="1" x="90"/>
        <item m="1" x="125"/>
        <item x="42"/>
        <item m="1" x="101"/>
        <item m="1" x="104"/>
        <item m="1" x="146"/>
        <item m="1" x="152"/>
        <item m="1" x="157"/>
        <item x="79"/>
        <item m="1" x="128"/>
        <item m="1" x="98"/>
        <item x="10"/>
        <item m="1" x="151"/>
        <item m="1" x="156"/>
        <item x="12"/>
        <item m="1" x="126"/>
        <item m="1" x="107"/>
        <item m="1" x="136"/>
        <item m="1" x="163"/>
        <item m="1" x="139"/>
        <item x="70"/>
        <item x="32"/>
        <item m="1" x="112"/>
        <item m="1" x="138"/>
        <item m="1" x="141"/>
        <item x="41"/>
        <item m="1" x="148"/>
        <item m="1" x="143"/>
        <item m="1" x="119"/>
        <item m="1" x="117"/>
        <item m="1" x="96"/>
        <item m="1" x="142"/>
        <item m="1" x="91"/>
        <item m="1" x="115"/>
        <item m="1" x="109"/>
        <item x="40"/>
        <item m="1" x="150"/>
        <item x="18"/>
        <item m="1" x="147"/>
        <item m="1" x="114"/>
        <item m="1" x="97"/>
        <item x="60"/>
        <item m="1" x="103"/>
        <item m="1" x="132"/>
        <item x="15"/>
        <item m="1" x="110"/>
        <item x="49"/>
        <item m="1" x="145"/>
        <item m="1" x="159"/>
        <item m="1" x="133"/>
        <item m="1" x="161"/>
        <item m="1" x="102"/>
        <item m="1" x="118"/>
        <item x="63"/>
        <item m="1" x="106"/>
        <item x="4"/>
        <item m="1" x="121"/>
        <item m="1" x="154"/>
        <item m="1" x="124"/>
        <item m="1" x="94"/>
        <item m="1" x="113"/>
        <item x="59"/>
        <item m="1" x="105"/>
        <item m="1" x="149"/>
        <item m="1" x="140"/>
        <item m="1" x="160"/>
        <item m="1" x="92"/>
        <item x="62"/>
        <item m="1" x="153"/>
        <item m="1" x="108"/>
        <item m="1" x="99"/>
        <item m="1" x="130"/>
        <item m="1" x="116"/>
        <item m="1" x="122"/>
        <item m="1" x="95"/>
        <item m="1" x="129"/>
        <item x="0"/>
        <item x="1"/>
        <item x="2"/>
        <item x="3"/>
        <item x="5"/>
        <item x="6"/>
        <item x="7"/>
        <item x="8"/>
        <item x="9"/>
        <item x="11"/>
        <item x="13"/>
        <item x="14"/>
        <item x="16"/>
        <item x="17"/>
        <item x="19"/>
        <item x="20"/>
        <item x="22"/>
        <item x="23"/>
        <item x="25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1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numFmtId="1" showAll="0"/>
    <pivotField numFmtId="164" showAll="0"/>
    <pivotField dataField="1" numFmtId="164"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F63F3-A343-4BC7-BD18-06D4E1E52D2C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showAll="0"/>
    <pivotField numFmtId="14" showAll="0">
      <items count="165">
        <item m="1" x="111"/>
        <item m="1" x="127"/>
        <item m="1" x="120"/>
        <item x="26"/>
        <item m="1" x="137"/>
        <item m="1" x="100"/>
        <item m="1" x="158"/>
        <item m="1" x="93"/>
        <item m="1" x="144"/>
        <item m="1" x="134"/>
        <item m="1" x="123"/>
        <item m="1" x="155"/>
        <item m="1" x="135"/>
        <item x="24"/>
        <item m="1" x="131"/>
        <item x="21"/>
        <item m="1" x="162"/>
        <item m="1" x="90"/>
        <item m="1" x="125"/>
        <item x="42"/>
        <item m="1" x="101"/>
        <item m="1" x="104"/>
        <item m="1" x="146"/>
        <item m="1" x="152"/>
        <item m="1" x="157"/>
        <item x="79"/>
        <item m="1" x="128"/>
        <item m="1" x="98"/>
        <item x="10"/>
        <item m="1" x="151"/>
        <item m="1" x="156"/>
        <item x="12"/>
        <item m="1" x="126"/>
        <item m="1" x="107"/>
        <item m="1" x="136"/>
        <item m="1" x="163"/>
        <item m="1" x="139"/>
        <item x="70"/>
        <item x="32"/>
        <item m="1" x="112"/>
        <item m="1" x="138"/>
        <item m="1" x="141"/>
        <item x="41"/>
        <item m="1" x="148"/>
        <item m="1" x="143"/>
        <item m="1" x="119"/>
        <item m="1" x="117"/>
        <item m="1" x="96"/>
        <item m="1" x="142"/>
        <item m="1" x="91"/>
        <item m="1" x="115"/>
        <item m="1" x="109"/>
        <item x="40"/>
        <item m="1" x="150"/>
        <item x="18"/>
        <item m="1" x="147"/>
        <item m="1" x="114"/>
        <item m="1" x="97"/>
        <item x="60"/>
        <item m="1" x="103"/>
        <item m="1" x="132"/>
        <item x="15"/>
        <item m="1" x="110"/>
        <item x="49"/>
        <item m="1" x="145"/>
        <item m="1" x="159"/>
        <item m="1" x="133"/>
        <item m="1" x="161"/>
        <item m="1" x="102"/>
        <item m="1" x="118"/>
        <item x="63"/>
        <item m="1" x="106"/>
        <item x="4"/>
        <item m="1" x="121"/>
        <item m="1" x="154"/>
        <item m="1" x="124"/>
        <item m="1" x="94"/>
        <item m="1" x="113"/>
        <item x="59"/>
        <item m="1" x="105"/>
        <item m="1" x="149"/>
        <item m="1" x="140"/>
        <item m="1" x="160"/>
        <item m="1" x="92"/>
        <item x="62"/>
        <item m="1" x="153"/>
        <item m="1" x="108"/>
        <item m="1" x="99"/>
        <item m="1" x="130"/>
        <item m="1" x="116"/>
        <item m="1" x="122"/>
        <item m="1" x="95"/>
        <item m="1" x="129"/>
        <item x="0"/>
        <item x="1"/>
        <item x="2"/>
        <item x="3"/>
        <item x="5"/>
        <item x="6"/>
        <item x="7"/>
        <item x="8"/>
        <item x="9"/>
        <item x="11"/>
        <item x="13"/>
        <item x="14"/>
        <item x="16"/>
        <item x="17"/>
        <item x="19"/>
        <item x="20"/>
        <item x="22"/>
        <item x="23"/>
        <item x="25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1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axis="axisRow" showAll="0">
      <items count="8">
        <item x="2"/>
        <item x="1"/>
        <item x="5"/>
        <item x="4"/>
        <item x="0"/>
        <item x="6"/>
        <item x="3"/>
        <item t="default"/>
      </items>
    </pivotField>
    <pivotField numFmtId="1" showAll="0"/>
    <pivotField numFmtId="164" showAll="0"/>
    <pivotField dataField="1" numFmtId="164"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 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0C6C9-C3A2-4A3F-95A7-EA9A669D2AE6}" name="PivotTable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 Sales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38090-41D5-4B02-874D-DE9C4FF19FCF}" name="Table1" displayName="Table1" ref="A3:I103" totalsRowShown="0">
  <autoFilter ref="A3:I103" xr:uid="{1E638090-41D5-4B02-874D-DE9C4FF19FCF}"/>
  <tableColumns count="9">
    <tableColumn id="1" xr3:uid="{BEEF3C36-76C4-4AEB-931B-4F7509F8EDFB}" name="Order ID"/>
    <tableColumn id="2" xr3:uid="{D5B5D68B-F262-4CA3-A628-114CBFC12688}" name="Date" dataDxfId="41"/>
    <tableColumn id="3" xr3:uid="{F57A30FC-A901-4523-B946-C3003942E1C1}" name="Category"/>
    <tableColumn id="4" xr3:uid="{9CDA50A5-FC79-41D8-8B7C-573C94814BC7}" name="Product"/>
    <tableColumn id="5" xr3:uid="{73E4BB22-173A-4B12-B6BE-D351B862B22A}" name="Region "/>
    <tableColumn id="6" xr3:uid="{5BD42F43-61AE-4482-8065-993FE26A202F}" name="Quantity" dataDxfId="42"/>
    <tableColumn id="7" xr3:uid="{4F945004-C880-454A-AB06-691E46F30528}" name="Unit Price " dataDxfId="43"/>
    <tableColumn id="8" xr3:uid="{A4DD723E-4C63-483E-AC14-095890DF6EA2}" name="Total Sales " dataDxfId="44">
      <calculatedColumnFormula>F4*G4</calculatedColumnFormula>
    </tableColumn>
    <tableColumn id="9" xr3:uid="{6E3CB270-F08B-4DCC-844C-6AC48CF70B0F}" name="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02B4-1054-4CE9-88F2-39997525E226}">
  <dimension ref="A1:I103"/>
  <sheetViews>
    <sheetView tabSelected="1" zoomScale="116" workbookViewId="0">
      <selection sqref="A1:XFD2"/>
    </sheetView>
  </sheetViews>
  <sheetFormatPr defaultRowHeight="14.4" x14ac:dyDescent="0.3"/>
  <cols>
    <col min="1" max="1" width="9.5546875" customWidth="1"/>
    <col min="2" max="2" width="10.44140625" style="1" bestFit="1" customWidth="1"/>
    <col min="3" max="3" width="13.44140625" customWidth="1"/>
    <col min="4" max="4" width="14.21875" customWidth="1"/>
    <col min="5" max="5" width="10.44140625" customWidth="1"/>
    <col min="6" max="6" width="9.6640625" style="4" customWidth="1"/>
    <col min="7" max="7" width="11.109375" style="3" customWidth="1"/>
    <col min="8" max="8" width="14.88671875" style="2" customWidth="1"/>
  </cols>
  <sheetData>
    <row r="1" spans="1:9" s="14" customFormat="1" x14ac:dyDescent="0.3">
      <c r="A1" s="13" t="s">
        <v>54</v>
      </c>
    </row>
    <row r="2" spans="1:9" s="14" customFormat="1" x14ac:dyDescent="0.3"/>
    <row r="3" spans="1:9" x14ac:dyDescent="0.3">
      <c r="A3" t="s">
        <v>0</v>
      </c>
      <c r="B3" s="1" t="s">
        <v>1</v>
      </c>
      <c r="C3" t="s">
        <v>8</v>
      </c>
      <c r="D3" t="s">
        <v>2</v>
      </c>
      <c r="E3" t="s">
        <v>3</v>
      </c>
      <c r="F3" s="4" t="s">
        <v>4</v>
      </c>
      <c r="G3" s="3" t="s">
        <v>5</v>
      </c>
      <c r="H3" s="2" t="s">
        <v>6</v>
      </c>
      <c r="I3" t="s">
        <v>49</v>
      </c>
    </row>
    <row r="4" spans="1:9" x14ac:dyDescent="0.3">
      <c r="A4">
        <v>1</v>
      </c>
      <c r="B4" s="1">
        <v>45646</v>
      </c>
      <c r="C4" t="s">
        <v>18</v>
      </c>
      <c r="D4" t="s">
        <v>25</v>
      </c>
      <c r="E4" t="s">
        <v>9</v>
      </c>
      <c r="F4" s="4">
        <v>1</v>
      </c>
      <c r="G4" s="3">
        <v>499</v>
      </c>
      <c r="H4" s="2">
        <f>F4*G4</f>
        <v>499</v>
      </c>
      <c r="I4" t="s">
        <v>50</v>
      </c>
    </row>
    <row r="5" spans="1:9" x14ac:dyDescent="0.3">
      <c r="A5">
        <v>2</v>
      </c>
      <c r="B5" s="1">
        <v>45475</v>
      </c>
      <c r="C5" t="s">
        <v>16</v>
      </c>
      <c r="D5" t="s">
        <v>36</v>
      </c>
      <c r="E5" t="s">
        <v>10</v>
      </c>
      <c r="F5" s="4">
        <v>5</v>
      </c>
      <c r="G5" s="3">
        <v>600</v>
      </c>
      <c r="H5" s="2">
        <f t="shared" ref="H5:H68" si="0">F5*G5</f>
        <v>3000</v>
      </c>
      <c r="I5" t="s">
        <v>51</v>
      </c>
    </row>
    <row r="6" spans="1:9" x14ac:dyDescent="0.3">
      <c r="A6">
        <v>3</v>
      </c>
      <c r="B6" s="1">
        <v>45498</v>
      </c>
      <c r="C6" t="s">
        <v>17</v>
      </c>
      <c r="D6" t="s">
        <v>26</v>
      </c>
      <c r="E6" t="s">
        <v>11</v>
      </c>
      <c r="F6" s="4">
        <v>3</v>
      </c>
      <c r="G6" s="3">
        <v>5239</v>
      </c>
      <c r="H6" s="2">
        <f t="shared" si="0"/>
        <v>15717</v>
      </c>
      <c r="I6" t="s">
        <v>52</v>
      </c>
    </row>
    <row r="7" spans="1:9" x14ac:dyDescent="0.3">
      <c r="A7">
        <v>4</v>
      </c>
      <c r="B7" s="1">
        <v>45584</v>
      </c>
      <c r="C7" t="s">
        <v>17</v>
      </c>
      <c r="D7" t="s">
        <v>7</v>
      </c>
      <c r="E7" t="s">
        <v>12</v>
      </c>
      <c r="F7" s="4">
        <v>4</v>
      </c>
      <c r="G7" s="3">
        <v>2165</v>
      </c>
      <c r="H7" s="2">
        <f t="shared" si="0"/>
        <v>8660</v>
      </c>
      <c r="I7" t="s">
        <v>52</v>
      </c>
    </row>
    <row r="8" spans="1:9" x14ac:dyDescent="0.3">
      <c r="A8">
        <v>5</v>
      </c>
      <c r="B8" s="1">
        <v>45564</v>
      </c>
      <c r="C8" t="s">
        <v>16</v>
      </c>
      <c r="D8" t="s">
        <v>33</v>
      </c>
      <c r="E8" t="s">
        <v>13</v>
      </c>
      <c r="F8" s="4">
        <v>3</v>
      </c>
      <c r="G8" s="3">
        <v>1772</v>
      </c>
      <c r="H8" s="2">
        <f t="shared" si="0"/>
        <v>5316</v>
      </c>
      <c r="I8" t="s">
        <v>51</v>
      </c>
    </row>
    <row r="9" spans="1:9" x14ac:dyDescent="0.3">
      <c r="A9">
        <v>6</v>
      </c>
      <c r="B9" s="1">
        <v>45332</v>
      </c>
      <c r="C9" t="s">
        <v>20</v>
      </c>
      <c r="D9" t="s">
        <v>34</v>
      </c>
      <c r="E9" t="s">
        <v>14</v>
      </c>
      <c r="F9" s="4">
        <v>3</v>
      </c>
      <c r="G9" s="3">
        <v>2633</v>
      </c>
      <c r="H9" s="2">
        <f t="shared" si="0"/>
        <v>7899</v>
      </c>
      <c r="I9" t="s">
        <v>50</v>
      </c>
    </row>
    <row r="10" spans="1:9" x14ac:dyDescent="0.3">
      <c r="A10">
        <v>7</v>
      </c>
      <c r="B10" s="1">
        <v>45601</v>
      </c>
      <c r="C10" t="s">
        <v>19</v>
      </c>
      <c r="D10" t="s">
        <v>31</v>
      </c>
      <c r="E10" t="s">
        <v>9</v>
      </c>
      <c r="F10" s="4">
        <v>4</v>
      </c>
      <c r="G10" s="3">
        <v>4145</v>
      </c>
      <c r="H10" s="2">
        <f t="shared" si="0"/>
        <v>16580</v>
      </c>
      <c r="I10" t="s">
        <v>50</v>
      </c>
    </row>
    <row r="11" spans="1:9" x14ac:dyDescent="0.3">
      <c r="A11">
        <v>8</v>
      </c>
      <c r="B11" s="1">
        <v>45534</v>
      </c>
      <c r="C11" t="s">
        <v>19</v>
      </c>
      <c r="D11" t="s">
        <v>31</v>
      </c>
      <c r="E11" t="s">
        <v>10</v>
      </c>
      <c r="F11" s="4">
        <v>3</v>
      </c>
      <c r="G11" s="3">
        <v>8480</v>
      </c>
      <c r="H11" s="2">
        <f t="shared" si="0"/>
        <v>25440</v>
      </c>
      <c r="I11" t="s">
        <v>50</v>
      </c>
    </row>
    <row r="12" spans="1:9" x14ac:dyDescent="0.3">
      <c r="A12">
        <v>9</v>
      </c>
      <c r="B12" s="1">
        <v>45565</v>
      </c>
      <c r="C12" t="s">
        <v>19</v>
      </c>
      <c r="D12" t="s">
        <v>30</v>
      </c>
      <c r="E12" t="s">
        <v>11</v>
      </c>
      <c r="F12" s="4">
        <v>4</v>
      </c>
      <c r="G12" s="3">
        <v>5539</v>
      </c>
      <c r="H12" s="2">
        <f t="shared" si="0"/>
        <v>22156</v>
      </c>
      <c r="I12" t="s">
        <v>50</v>
      </c>
    </row>
    <row r="13" spans="1:9" x14ac:dyDescent="0.3">
      <c r="A13">
        <v>10</v>
      </c>
      <c r="B13" s="1">
        <v>45334</v>
      </c>
      <c r="C13" t="s">
        <v>19</v>
      </c>
      <c r="D13" t="s">
        <v>30</v>
      </c>
      <c r="E13" t="s">
        <v>12</v>
      </c>
      <c r="F13" s="4">
        <v>2</v>
      </c>
      <c r="G13" s="3">
        <v>8443</v>
      </c>
      <c r="H13" s="2">
        <f t="shared" si="0"/>
        <v>16886</v>
      </c>
      <c r="I13" t="s">
        <v>50</v>
      </c>
    </row>
    <row r="14" spans="1:9" x14ac:dyDescent="0.3">
      <c r="A14">
        <v>11</v>
      </c>
      <c r="B14" s="1">
        <v>45408</v>
      </c>
      <c r="C14" t="s">
        <v>16</v>
      </c>
      <c r="D14" t="s">
        <v>23</v>
      </c>
      <c r="E14" t="s">
        <v>13</v>
      </c>
      <c r="F14" s="4">
        <v>5</v>
      </c>
      <c r="G14" s="3">
        <v>9404</v>
      </c>
      <c r="H14" s="2">
        <f t="shared" si="0"/>
        <v>47020</v>
      </c>
      <c r="I14" t="s">
        <v>50</v>
      </c>
    </row>
    <row r="15" spans="1:9" x14ac:dyDescent="0.3">
      <c r="A15">
        <v>12</v>
      </c>
      <c r="B15" s="1">
        <v>45617</v>
      </c>
      <c r="C15" t="s">
        <v>16</v>
      </c>
      <c r="D15" t="s">
        <v>36</v>
      </c>
      <c r="E15" t="s">
        <v>14</v>
      </c>
      <c r="F15" s="4">
        <v>1</v>
      </c>
      <c r="G15" s="3">
        <v>6813</v>
      </c>
      <c r="H15" s="2">
        <f t="shared" si="0"/>
        <v>6813</v>
      </c>
      <c r="I15" t="s">
        <v>50</v>
      </c>
    </row>
    <row r="16" spans="1:9" x14ac:dyDescent="0.3">
      <c r="A16">
        <v>13</v>
      </c>
      <c r="B16" s="1">
        <v>45422</v>
      </c>
      <c r="C16" t="s">
        <v>19</v>
      </c>
      <c r="D16" t="s">
        <v>30</v>
      </c>
      <c r="E16" t="s">
        <v>9</v>
      </c>
      <c r="F16" s="4">
        <v>2</v>
      </c>
      <c r="G16" s="3">
        <v>9913</v>
      </c>
      <c r="H16" s="2">
        <f t="shared" si="0"/>
        <v>19826</v>
      </c>
      <c r="I16" t="s">
        <v>50</v>
      </c>
    </row>
    <row r="17" spans="1:9" x14ac:dyDescent="0.3">
      <c r="A17">
        <v>14</v>
      </c>
      <c r="B17" s="1">
        <v>45296</v>
      </c>
      <c r="C17" t="s">
        <v>20</v>
      </c>
      <c r="D17" t="s">
        <v>28</v>
      </c>
      <c r="E17" t="s">
        <v>10</v>
      </c>
      <c r="F17" s="4">
        <v>4</v>
      </c>
      <c r="G17" s="3">
        <v>329</v>
      </c>
      <c r="H17" s="2">
        <f t="shared" si="0"/>
        <v>1316</v>
      </c>
      <c r="I17" t="s">
        <v>50</v>
      </c>
    </row>
    <row r="18" spans="1:9" x14ac:dyDescent="0.3">
      <c r="A18">
        <v>15</v>
      </c>
      <c r="B18" s="1">
        <v>45507</v>
      </c>
      <c r="C18" t="s">
        <v>17</v>
      </c>
      <c r="D18" t="s">
        <v>26</v>
      </c>
      <c r="E18" t="s">
        <v>11</v>
      </c>
      <c r="F18" s="4">
        <v>2</v>
      </c>
      <c r="G18" s="3">
        <v>7578</v>
      </c>
      <c r="H18" s="2">
        <f t="shared" si="0"/>
        <v>15156</v>
      </c>
      <c r="I18" t="s">
        <v>50</v>
      </c>
    </row>
    <row r="19" spans="1:9" x14ac:dyDescent="0.3">
      <c r="A19">
        <v>16</v>
      </c>
      <c r="B19" s="1">
        <v>45538</v>
      </c>
      <c r="C19" t="s">
        <v>20</v>
      </c>
      <c r="D19" t="s">
        <v>28</v>
      </c>
      <c r="E19" t="s">
        <v>12</v>
      </c>
      <c r="F19" s="4">
        <v>2</v>
      </c>
      <c r="G19" s="3">
        <v>3867</v>
      </c>
      <c r="H19" s="2">
        <f t="shared" si="0"/>
        <v>7734</v>
      </c>
      <c r="I19" t="s">
        <v>50</v>
      </c>
    </row>
    <row r="20" spans="1:9" x14ac:dyDescent="0.3">
      <c r="A20">
        <v>17</v>
      </c>
      <c r="B20" s="1">
        <v>45395</v>
      </c>
      <c r="C20" t="s">
        <v>18</v>
      </c>
      <c r="D20" t="s">
        <v>32</v>
      </c>
      <c r="E20" t="s">
        <v>13</v>
      </c>
      <c r="F20" s="4">
        <v>3</v>
      </c>
      <c r="G20" s="3">
        <v>6029</v>
      </c>
      <c r="H20" s="2">
        <f t="shared" si="0"/>
        <v>18087</v>
      </c>
      <c r="I20" t="s">
        <v>50</v>
      </c>
    </row>
    <row r="21" spans="1:9" x14ac:dyDescent="0.3">
      <c r="A21">
        <v>18</v>
      </c>
      <c r="B21" s="1">
        <v>45300</v>
      </c>
      <c r="C21" t="s">
        <v>16</v>
      </c>
      <c r="D21" t="s">
        <v>33</v>
      </c>
      <c r="E21" t="s">
        <v>14</v>
      </c>
      <c r="F21" s="4">
        <v>4</v>
      </c>
      <c r="G21" s="3">
        <v>9776</v>
      </c>
      <c r="H21" s="2">
        <f t="shared" si="0"/>
        <v>39104</v>
      </c>
      <c r="I21" t="s">
        <v>50</v>
      </c>
    </row>
    <row r="22" spans="1:9" x14ac:dyDescent="0.3">
      <c r="A22">
        <v>19</v>
      </c>
      <c r="B22" s="1">
        <v>45506</v>
      </c>
      <c r="C22" t="s">
        <v>17</v>
      </c>
      <c r="D22" t="s">
        <v>7</v>
      </c>
      <c r="E22" t="s">
        <v>9</v>
      </c>
      <c r="F22" s="4">
        <v>3</v>
      </c>
      <c r="G22" s="3">
        <v>9052</v>
      </c>
      <c r="H22" s="2">
        <f t="shared" si="0"/>
        <v>27156</v>
      </c>
      <c r="I22" t="s">
        <v>50</v>
      </c>
    </row>
    <row r="23" spans="1:9" x14ac:dyDescent="0.3">
      <c r="A23">
        <v>20</v>
      </c>
      <c r="B23" s="1">
        <v>45342</v>
      </c>
      <c r="C23" t="s">
        <v>20</v>
      </c>
      <c r="D23" t="s">
        <v>34</v>
      </c>
      <c r="E23" t="s">
        <v>10</v>
      </c>
      <c r="F23" s="4">
        <v>3</v>
      </c>
      <c r="G23" s="3">
        <v>3202</v>
      </c>
      <c r="H23" s="2">
        <f t="shared" si="0"/>
        <v>9606</v>
      </c>
      <c r="I23" t="s">
        <v>50</v>
      </c>
    </row>
    <row r="24" spans="1:9" x14ac:dyDescent="0.3">
      <c r="A24">
        <v>21</v>
      </c>
      <c r="B24" s="1">
        <v>45341</v>
      </c>
      <c r="C24" t="s">
        <v>20</v>
      </c>
      <c r="D24" t="s">
        <v>35</v>
      </c>
      <c r="E24" t="s">
        <v>11</v>
      </c>
      <c r="F24" s="4">
        <v>3</v>
      </c>
      <c r="G24" s="3">
        <v>5363</v>
      </c>
      <c r="H24" s="2">
        <f t="shared" si="0"/>
        <v>16089</v>
      </c>
      <c r="I24" t="s">
        <v>50</v>
      </c>
    </row>
    <row r="25" spans="1:9" x14ac:dyDescent="0.3">
      <c r="A25">
        <v>22</v>
      </c>
      <c r="B25" s="1">
        <v>45344</v>
      </c>
      <c r="C25" t="s">
        <v>16</v>
      </c>
      <c r="D25" t="s">
        <v>23</v>
      </c>
      <c r="E25" t="s">
        <v>12</v>
      </c>
      <c r="F25" s="4">
        <v>5</v>
      </c>
      <c r="G25" s="3">
        <v>9655</v>
      </c>
      <c r="H25" s="2">
        <f t="shared" si="0"/>
        <v>48275</v>
      </c>
      <c r="I25" t="s">
        <v>50</v>
      </c>
    </row>
    <row r="26" spans="1:9" x14ac:dyDescent="0.3">
      <c r="A26">
        <v>23</v>
      </c>
      <c r="B26" s="1">
        <v>45635</v>
      </c>
      <c r="C26" t="s">
        <v>16</v>
      </c>
      <c r="D26" t="s">
        <v>36</v>
      </c>
      <c r="E26" t="s">
        <v>13</v>
      </c>
      <c r="F26" s="4">
        <v>4</v>
      </c>
      <c r="G26" s="3">
        <v>3949</v>
      </c>
      <c r="H26" s="2">
        <f t="shared" si="0"/>
        <v>15796</v>
      </c>
      <c r="I26" t="s">
        <v>50</v>
      </c>
    </row>
    <row r="27" spans="1:9" x14ac:dyDescent="0.3">
      <c r="A27">
        <v>24</v>
      </c>
      <c r="B27" s="1">
        <v>45571</v>
      </c>
      <c r="C27" t="s">
        <v>16</v>
      </c>
      <c r="D27" t="s">
        <v>33</v>
      </c>
      <c r="E27" t="s">
        <v>14</v>
      </c>
      <c r="F27" s="4">
        <v>3</v>
      </c>
      <c r="G27" s="3">
        <v>5815</v>
      </c>
      <c r="H27" s="2">
        <f t="shared" si="0"/>
        <v>17445</v>
      </c>
      <c r="I27" t="s">
        <v>51</v>
      </c>
    </row>
    <row r="28" spans="1:9" x14ac:dyDescent="0.3">
      <c r="A28">
        <v>25</v>
      </c>
      <c r="B28" s="1">
        <v>45336</v>
      </c>
      <c r="C28" t="s">
        <v>19</v>
      </c>
      <c r="D28" t="s">
        <v>31</v>
      </c>
      <c r="E28" t="s">
        <v>9</v>
      </c>
      <c r="F28" s="4">
        <v>3</v>
      </c>
      <c r="G28" s="3">
        <v>9688</v>
      </c>
      <c r="H28" s="2">
        <f t="shared" si="0"/>
        <v>29064</v>
      </c>
      <c r="I28" t="s">
        <v>51</v>
      </c>
    </row>
    <row r="29" spans="1:9" x14ac:dyDescent="0.3">
      <c r="A29">
        <v>26</v>
      </c>
      <c r="B29" s="1">
        <v>45419</v>
      </c>
      <c r="C29" t="s">
        <v>19</v>
      </c>
      <c r="D29" t="s">
        <v>30</v>
      </c>
      <c r="E29" t="s">
        <v>10</v>
      </c>
      <c r="F29" s="4">
        <v>2</v>
      </c>
      <c r="G29" s="3">
        <v>5430</v>
      </c>
      <c r="H29" s="2">
        <f t="shared" si="0"/>
        <v>10860</v>
      </c>
      <c r="I29" t="s">
        <v>51</v>
      </c>
    </row>
    <row r="30" spans="1:9" x14ac:dyDescent="0.3">
      <c r="A30">
        <v>27</v>
      </c>
      <c r="B30" s="1">
        <v>45303</v>
      </c>
      <c r="C30" t="s">
        <v>20</v>
      </c>
      <c r="D30" t="s">
        <v>34</v>
      </c>
      <c r="E30" t="s">
        <v>11</v>
      </c>
      <c r="F30" s="4">
        <v>4</v>
      </c>
      <c r="G30" s="3">
        <v>7411</v>
      </c>
      <c r="H30" s="2">
        <f t="shared" si="0"/>
        <v>29644</v>
      </c>
      <c r="I30" t="s">
        <v>51</v>
      </c>
    </row>
    <row r="31" spans="1:9" x14ac:dyDescent="0.3">
      <c r="A31">
        <v>28</v>
      </c>
      <c r="B31" s="1">
        <v>45456</v>
      </c>
      <c r="C31" t="s">
        <v>16</v>
      </c>
      <c r="D31" t="s">
        <v>36</v>
      </c>
      <c r="E31" t="s">
        <v>12</v>
      </c>
      <c r="F31" s="4">
        <v>4</v>
      </c>
      <c r="G31" s="3">
        <v>4543</v>
      </c>
      <c r="H31" s="2">
        <f t="shared" si="0"/>
        <v>18172</v>
      </c>
      <c r="I31" t="s">
        <v>51</v>
      </c>
    </row>
    <row r="32" spans="1:9" x14ac:dyDescent="0.3">
      <c r="A32">
        <v>29</v>
      </c>
      <c r="B32" s="1">
        <v>45572</v>
      </c>
      <c r="C32" t="s">
        <v>16</v>
      </c>
      <c r="D32" t="s">
        <v>23</v>
      </c>
      <c r="E32" t="s">
        <v>13</v>
      </c>
      <c r="F32" s="4">
        <v>3</v>
      </c>
      <c r="G32" s="3">
        <v>2528</v>
      </c>
      <c r="H32" s="2">
        <f t="shared" si="0"/>
        <v>7584</v>
      </c>
      <c r="I32" t="s">
        <v>50</v>
      </c>
    </row>
    <row r="33" spans="1:9" x14ac:dyDescent="0.3">
      <c r="A33">
        <v>30</v>
      </c>
      <c r="B33" s="1">
        <v>45587</v>
      </c>
      <c r="C33" t="s">
        <v>17</v>
      </c>
      <c r="D33" t="s">
        <v>26</v>
      </c>
      <c r="E33" t="s">
        <v>14</v>
      </c>
      <c r="F33" s="4">
        <v>2</v>
      </c>
      <c r="G33" s="3">
        <v>1897</v>
      </c>
      <c r="H33" s="2">
        <f t="shared" si="0"/>
        <v>3794</v>
      </c>
      <c r="I33" t="s">
        <v>51</v>
      </c>
    </row>
    <row r="34" spans="1:9" x14ac:dyDescent="0.3">
      <c r="A34">
        <v>31</v>
      </c>
      <c r="B34" s="1">
        <v>45541</v>
      </c>
      <c r="C34" t="s">
        <v>20</v>
      </c>
      <c r="D34" t="s">
        <v>28</v>
      </c>
      <c r="E34" t="s">
        <v>9</v>
      </c>
      <c r="F34" s="4">
        <v>3</v>
      </c>
      <c r="G34" s="3">
        <v>8902</v>
      </c>
      <c r="H34" s="2">
        <f t="shared" si="0"/>
        <v>26706</v>
      </c>
      <c r="I34" t="s">
        <v>51</v>
      </c>
    </row>
    <row r="35" spans="1:9" x14ac:dyDescent="0.3">
      <c r="A35">
        <v>32</v>
      </c>
      <c r="B35" s="1">
        <v>45634</v>
      </c>
      <c r="C35" t="s">
        <v>20</v>
      </c>
      <c r="D35" t="s">
        <v>35</v>
      </c>
      <c r="E35" t="s">
        <v>10</v>
      </c>
      <c r="F35" s="4">
        <v>4</v>
      </c>
      <c r="G35" s="3">
        <v>7884</v>
      </c>
      <c r="H35" s="2">
        <f t="shared" si="0"/>
        <v>31536</v>
      </c>
      <c r="I35" t="s">
        <v>50</v>
      </c>
    </row>
    <row r="36" spans="1:9" x14ac:dyDescent="0.3">
      <c r="A36">
        <v>33</v>
      </c>
      <c r="B36" s="1">
        <v>45442</v>
      </c>
      <c r="C36" t="s">
        <v>17</v>
      </c>
      <c r="D36" t="s">
        <v>7</v>
      </c>
      <c r="E36" t="s">
        <v>11</v>
      </c>
      <c r="F36" s="4">
        <v>3</v>
      </c>
      <c r="G36" s="3">
        <v>8630</v>
      </c>
      <c r="H36" s="2">
        <f t="shared" si="0"/>
        <v>25890</v>
      </c>
      <c r="I36" t="s">
        <v>51</v>
      </c>
    </row>
    <row r="37" spans="1:9" x14ac:dyDescent="0.3">
      <c r="A37">
        <v>34</v>
      </c>
      <c r="B37" s="1">
        <v>45331</v>
      </c>
      <c r="C37" t="s">
        <v>18</v>
      </c>
      <c r="D37" t="s">
        <v>32</v>
      </c>
      <c r="E37" t="s">
        <v>12</v>
      </c>
      <c r="F37" s="4">
        <v>1</v>
      </c>
      <c r="G37" s="3">
        <v>9428</v>
      </c>
      <c r="H37" s="2">
        <f t="shared" si="0"/>
        <v>9428</v>
      </c>
      <c r="I37" t="s">
        <v>51</v>
      </c>
    </row>
    <row r="38" spans="1:9" x14ac:dyDescent="0.3">
      <c r="A38">
        <v>35</v>
      </c>
      <c r="B38" s="1">
        <v>45503</v>
      </c>
      <c r="C38" t="s">
        <v>20</v>
      </c>
      <c r="D38" t="s">
        <v>34</v>
      </c>
      <c r="E38" t="s">
        <v>13</v>
      </c>
      <c r="F38" s="4">
        <v>2</v>
      </c>
      <c r="G38" s="3">
        <v>2961</v>
      </c>
      <c r="H38" s="2">
        <f t="shared" si="0"/>
        <v>5922</v>
      </c>
      <c r="I38" t="s">
        <v>51</v>
      </c>
    </row>
    <row r="39" spans="1:9" x14ac:dyDescent="0.3">
      <c r="A39">
        <v>36</v>
      </c>
      <c r="B39" s="1">
        <v>45450</v>
      </c>
      <c r="C39" t="s">
        <v>19</v>
      </c>
      <c r="D39" t="s">
        <v>30</v>
      </c>
      <c r="E39" t="s">
        <v>14</v>
      </c>
      <c r="F39" s="4">
        <v>1</v>
      </c>
      <c r="G39" s="3">
        <v>8722</v>
      </c>
      <c r="H39" s="2">
        <f t="shared" si="0"/>
        <v>8722</v>
      </c>
      <c r="I39" t="s">
        <v>50</v>
      </c>
    </row>
    <row r="40" spans="1:9" x14ac:dyDescent="0.3">
      <c r="A40">
        <v>37</v>
      </c>
      <c r="B40" s="1">
        <v>45535</v>
      </c>
      <c r="C40" t="s">
        <v>18</v>
      </c>
      <c r="D40" t="s">
        <v>25</v>
      </c>
      <c r="E40" t="s">
        <v>9</v>
      </c>
      <c r="F40" s="4">
        <v>5</v>
      </c>
      <c r="G40" s="3">
        <v>8118</v>
      </c>
      <c r="H40" s="2">
        <f t="shared" si="0"/>
        <v>40590</v>
      </c>
      <c r="I40" t="s">
        <v>50</v>
      </c>
    </row>
    <row r="41" spans="1:9" x14ac:dyDescent="0.3">
      <c r="A41">
        <v>38</v>
      </c>
      <c r="B41" s="1">
        <v>45495</v>
      </c>
      <c r="C41" t="s">
        <v>18</v>
      </c>
      <c r="D41" t="s">
        <v>32</v>
      </c>
      <c r="E41" t="s">
        <v>10</v>
      </c>
      <c r="F41" s="4">
        <v>5</v>
      </c>
      <c r="G41" s="3">
        <v>2946</v>
      </c>
      <c r="H41" s="2">
        <f t="shared" si="0"/>
        <v>14730</v>
      </c>
      <c r="I41" t="s">
        <v>50</v>
      </c>
    </row>
    <row r="42" spans="1:9" x14ac:dyDescent="0.3">
      <c r="A42">
        <v>39</v>
      </c>
      <c r="B42" s="1">
        <v>45375</v>
      </c>
      <c r="C42" t="s">
        <v>16</v>
      </c>
      <c r="D42" t="s">
        <v>23</v>
      </c>
      <c r="E42" t="s">
        <v>11</v>
      </c>
      <c r="F42" s="4">
        <v>5</v>
      </c>
      <c r="G42" s="3">
        <v>8915</v>
      </c>
      <c r="H42" s="2">
        <f t="shared" si="0"/>
        <v>44575</v>
      </c>
      <c r="I42" t="s">
        <v>51</v>
      </c>
    </row>
    <row r="43" spans="1:9" x14ac:dyDescent="0.3">
      <c r="A43">
        <v>40</v>
      </c>
      <c r="B43" s="1">
        <v>45415</v>
      </c>
      <c r="C43" t="s">
        <v>19</v>
      </c>
      <c r="D43" t="s">
        <v>30</v>
      </c>
      <c r="E43" t="s">
        <v>12</v>
      </c>
      <c r="F43" s="4">
        <v>2</v>
      </c>
      <c r="G43" s="3">
        <v>8731</v>
      </c>
      <c r="H43" s="2">
        <f t="shared" si="0"/>
        <v>17462</v>
      </c>
      <c r="I43" t="s">
        <v>51</v>
      </c>
    </row>
    <row r="44" spans="1:9" x14ac:dyDescent="0.3">
      <c r="A44">
        <v>41</v>
      </c>
      <c r="B44" s="1">
        <v>45501</v>
      </c>
      <c r="C44" t="s">
        <v>18</v>
      </c>
      <c r="D44" t="s">
        <v>32</v>
      </c>
      <c r="E44" t="s">
        <v>13</v>
      </c>
      <c r="F44" s="4">
        <v>3</v>
      </c>
      <c r="G44" s="3">
        <v>5011</v>
      </c>
      <c r="H44" s="2">
        <f t="shared" si="0"/>
        <v>15033</v>
      </c>
      <c r="I44" t="s">
        <v>51</v>
      </c>
    </row>
    <row r="45" spans="1:9" x14ac:dyDescent="0.3">
      <c r="A45">
        <v>42</v>
      </c>
      <c r="B45" s="1">
        <v>45469</v>
      </c>
      <c r="C45" t="s">
        <v>18</v>
      </c>
      <c r="D45" t="s">
        <v>32</v>
      </c>
      <c r="E45" t="s">
        <v>14</v>
      </c>
      <c r="F45" s="4">
        <v>2</v>
      </c>
      <c r="G45" s="3">
        <v>868</v>
      </c>
      <c r="H45" s="2">
        <f t="shared" si="0"/>
        <v>1736</v>
      </c>
      <c r="I45" t="s">
        <v>51</v>
      </c>
    </row>
    <row r="46" spans="1:9" x14ac:dyDescent="0.3">
      <c r="A46">
        <v>43</v>
      </c>
      <c r="B46" s="1">
        <v>45646</v>
      </c>
      <c r="C46" t="s">
        <v>20</v>
      </c>
      <c r="D46" t="s">
        <v>28</v>
      </c>
      <c r="E46" t="s">
        <v>3</v>
      </c>
      <c r="F46" s="4">
        <v>3</v>
      </c>
      <c r="G46" s="3">
        <v>7922</v>
      </c>
      <c r="H46" s="2">
        <f t="shared" si="0"/>
        <v>23766</v>
      </c>
      <c r="I46" t="s">
        <v>51</v>
      </c>
    </row>
    <row r="47" spans="1:9" x14ac:dyDescent="0.3">
      <c r="A47">
        <v>44</v>
      </c>
      <c r="B47" s="1">
        <v>45353</v>
      </c>
      <c r="C47" t="s">
        <v>17</v>
      </c>
      <c r="D47" t="s">
        <v>27</v>
      </c>
      <c r="E47" t="s">
        <v>9</v>
      </c>
      <c r="F47" s="4">
        <v>1</v>
      </c>
      <c r="G47" s="3">
        <v>742</v>
      </c>
      <c r="H47" s="2">
        <f t="shared" si="0"/>
        <v>742</v>
      </c>
      <c r="I47" t="s">
        <v>51</v>
      </c>
    </row>
    <row r="48" spans="1:9" x14ac:dyDescent="0.3">
      <c r="A48">
        <v>45</v>
      </c>
      <c r="B48" s="1">
        <v>45518</v>
      </c>
      <c r="C48" t="s">
        <v>20</v>
      </c>
      <c r="D48" t="s">
        <v>28</v>
      </c>
      <c r="E48" t="s">
        <v>10</v>
      </c>
      <c r="F48" s="4">
        <v>4</v>
      </c>
      <c r="G48" s="3">
        <v>2273</v>
      </c>
      <c r="H48" s="2">
        <f t="shared" si="0"/>
        <v>9092</v>
      </c>
      <c r="I48" t="s">
        <v>51</v>
      </c>
    </row>
    <row r="49" spans="1:9" x14ac:dyDescent="0.3">
      <c r="A49">
        <v>46</v>
      </c>
      <c r="B49" s="1">
        <v>45318</v>
      </c>
      <c r="C49" t="s">
        <v>16</v>
      </c>
      <c r="D49" t="s">
        <v>36</v>
      </c>
      <c r="E49" t="s">
        <v>11</v>
      </c>
      <c r="F49" s="4">
        <v>1</v>
      </c>
      <c r="G49" s="3">
        <v>6423</v>
      </c>
      <c r="H49" s="2">
        <f t="shared" si="0"/>
        <v>6423</v>
      </c>
      <c r="I49" t="s">
        <v>51</v>
      </c>
    </row>
    <row r="50" spans="1:9" x14ac:dyDescent="0.3">
      <c r="A50">
        <v>47</v>
      </c>
      <c r="B50" s="1">
        <v>45508</v>
      </c>
      <c r="C50" t="s">
        <v>19</v>
      </c>
      <c r="D50" t="s">
        <v>31</v>
      </c>
      <c r="E50" t="s">
        <v>12</v>
      </c>
      <c r="F50" s="4">
        <v>4</v>
      </c>
      <c r="G50" s="3">
        <v>8268</v>
      </c>
      <c r="H50" s="2">
        <f t="shared" si="0"/>
        <v>33072</v>
      </c>
      <c r="I50" t="s">
        <v>51</v>
      </c>
    </row>
    <row r="51" spans="1:9" x14ac:dyDescent="0.3">
      <c r="A51">
        <v>48</v>
      </c>
      <c r="B51" s="1">
        <v>45485</v>
      </c>
      <c r="C51" t="s">
        <v>19</v>
      </c>
      <c r="D51" t="s">
        <v>30</v>
      </c>
      <c r="E51" t="s">
        <v>13</v>
      </c>
      <c r="F51" s="4">
        <v>3</v>
      </c>
      <c r="G51" s="3">
        <v>599</v>
      </c>
      <c r="H51" s="2">
        <f t="shared" si="0"/>
        <v>1797</v>
      </c>
      <c r="I51" t="s">
        <v>51</v>
      </c>
    </row>
    <row r="52" spans="1:9" x14ac:dyDescent="0.3">
      <c r="A52">
        <v>49</v>
      </c>
      <c r="B52" s="1">
        <v>45464</v>
      </c>
      <c r="C52" t="s">
        <v>19</v>
      </c>
      <c r="D52" t="s">
        <v>30</v>
      </c>
      <c r="E52" t="s">
        <v>14</v>
      </c>
      <c r="F52" s="4">
        <v>2</v>
      </c>
      <c r="G52" s="3">
        <v>3572</v>
      </c>
      <c r="H52" s="2">
        <f t="shared" si="0"/>
        <v>7144</v>
      </c>
      <c r="I52" t="s">
        <v>51</v>
      </c>
    </row>
    <row r="53" spans="1:9" x14ac:dyDescent="0.3">
      <c r="A53">
        <v>50</v>
      </c>
      <c r="B53" s="1">
        <v>45645</v>
      </c>
      <c r="C53" t="s">
        <v>20</v>
      </c>
      <c r="D53" t="s">
        <v>28</v>
      </c>
      <c r="E53" t="s">
        <v>9</v>
      </c>
      <c r="F53" s="4">
        <v>4</v>
      </c>
      <c r="G53" s="3">
        <v>7632</v>
      </c>
      <c r="H53" s="2">
        <f t="shared" si="0"/>
        <v>30528</v>
      </c>
      <c r="I53" t="s">
        <v>51</v>
      </c>
    </row>
    <row r="54" spans="1:9" x14ac:dyDescent="0.3">
      <c r="A54">
        <v>51</v>
      </c>
      <c r="B54" s="1">
        <v>45546</v>
      </c>
      <c r="C54" t="s">
        <v>18</v>
      </c>
      <c r="D54" t="s">
        <v>25</v>
      </c>
      <c r="E54" t="s">
        <v>10</v>
      </c>
      <c r="F54" s="4">
        <v>3</v>
      </c>
      <c r="G54" s="3">
        <v>3629</v>
      </c>
      <c r="H54" s="2">
        <f t="shared" si="0"/>
        <v>10887</v>
      </c>
      <c r="I54" t="s">
        <v>51</v>
      </c>
    </row>
    <row r="55" spans="1:9" x14ac:dyDescent="0.3">
      <c r="A55">
        <v>52</v>
      </c>
      <c r="B55" s="1">
        <v>45639</v>
      </c>
      <c r="C55" t="s">
        <v>20</v>
      </c>
      <c r="D55" t="s">
        <v>28</v>
      </c>
      <c r="E55" t="s">
        <v>11</v>
      </c>
      <c r="F55" s="4">
        <v>5</v>
      </c>
      <c r="G55" s="3">
        <v>7907</v>
      </c>
      <c r="H55" s="2">
        <f t="shared" si="0"/>
        <v>39535</v>
      </c>
      <c r="I55" t="s">
        <v>51</v>
      </c>
    </row>
    <row r="56" spans="1:9" x14ac:dyDescent="0.3">
      <c r="A56">
        <v>53</v>
      </c>
      <c r="B56" s="1">
        <v>45482</v>
      </c>
      <c r="C56" t="s">
        <v>19</v>
      </c>
      <c r="D56" t="s">
        <v>24</v>
      </c>
      <c r="E56" t="s">
        <v>12</v>
      </c>
      <c r="F56" s="4">
        <v>2</v>
      </c>
      <c r="G56" s="3">
        <v>3114</v>
      </c>
      <c r="H56" s="2">
        <f t="shared" si="0"/>
        <v>6228</v>
      </c>
      <c r="I56" t="s">
        <v>50</v>
      </c>
    </row>
    <row r="57" spans="1:9" x14ac:dyDescent="0.3">
      <c r="A57">
        <v>54</v>
      </c>
      <c r="B57" s="1">
        <v>45499</v>
      </c>
      <c r="C57" t="s">
        <v>18</v>
      </c>
      <c r="D57" t="s">
        <v>25</v>
      </c>
      <c r="E57" t="s">
        <v>13</v>
      </c>
      <c r="F57" s="4">
        <v>3</v>
      </c>
      <c r="G57" s="3">
        <v>2908</v>
      </c>
      <c r="H57" s="2">
        <f t="shared" si="0"/>
        <v>8724</v>
      </c>
      <c r="I57" t="s">
        <v>50</v>
      </c>
    </row>
    <row r="58" spans="1:9" x14ac:dyDescent="0.3">
      <c r="A58">
        <v>55</v>
      </c>
      <c r="B58" s="1">
        <v>45326</v>
      </c>
      <c r="C58" t="s">
        <v>17</v>
      </c>
      <c r="D58" t="s">
        <v>26</v>
      </c>
      <c r="E58" t="s">
        <v>14</v>
      </c>
      <c r="F58" s="4">
        <v>5</v>
      </c>
      <c r="G58" s="3">
        <v>8216</v>
      </c>
      <c r="H58" s="2">
        <f t="shared" si="0"/>
        <v>41080</v>
      </c>
      <c r="I58" t="s">
        <v>50</v>
      </c>
    </row>
    <row r="59" spans="1:9" x14ac:dyDescent="0.3">
      <c r="A59">
        <v>56</v>
      </c>
      <c r="B59" s="1">
        <v>45457</v>
      </c>
      <c r="C59" t="s">
        <v>18</v>
      </c>
      <c r="D59" t="s">
        <v>25</v>
      </c>
      <c r="E59" t="s">
        <v>9</v>
      </c>
      <c r="F59" s="4">
        <v>2</v>
      </c>
      <c r="G59" s="3">
        <v>9760</v>
      </c>
      <c r="H59" s="2">
        <f t="shared" si="0"/>
        <v>19520</v>
      </c>
      <c r="I59" t="s">
        <v>50</v>
      </c>
    </row>
    <row r="60" spans="1:9" x14ac:dyDescent="0.3">
      <c r="A60">
        <v>57</v>
      </c>
      <c r="B60" s="1">
        <v>45449</v>
      </c>
      <c r="C60" t="s">
        <v>16</v>
      </c>
      <c r="D60" t="s">
        <v>23</v>
      </c>
      <c r="E60" t="s">
        <v>10</v>
      </c>
      <c r="F60" s="4">
        <v>3</v>
      </c>
      <c r="G60" s="3">
        <v>8018</v>
      </c>
      <c r="H60" s="2">
        <f t="shared" si="0"/>
        <v>24054</v>
      </c>
      <c r="I60" t="s">
        <v>50</v>
      </c>
    </row>
    <row r="61" spans="1:9" x14ac:dyDescent="0.3">
      <c r="A61">
        <v>58</v>
      </c>
      <c r="B61" s="1">
        <v>45556</v>
      </c>
      <c r="C61" t="s">
        <v>19</v>
      </c>
      <c r="D61" t="s">
        <v>31</v>
      </c>
      <c r="E61" t="s">
        <v>11</v>
      </c>
      <c r="F61" s="4">
        <v>1</v>
      </c>
      <c r="G61" s="3">
        <v>1807</v>
      </c>
      <c r="H61" s="2">
        <f t="shared" si="0"/>
        <v>1807</v>
      </c>
      <c r="I61" t="s">
        <v>51</v>
      </c>
    </row>
    <row r="62" spans="1:9" x14ac:dyDescent="0.3">
      <c r="A62">
        <v>59</v>
      </c>
      <c r="B62" s="1">
        <v>45505</v>
      </c>
      <c r="C62" t="s">
        <v>19</v>
      </c>
      <c r="D62" t="s">
        <v>31</v>
      </c>
      <c r="E62" t="s">
        <v>12</v>
      </c>
      <c r="F62" s="4">
        <v>3</v>
      </c>
      <c r="G62" s="3">
        <v>4903</v>
      </c>
      <c r="H62" s="2">
        <f t="shared" si="0"/>
        <v>14709</v>
      </c>
      <c r="I62" t="s">
        <v>50</v>
      </c>
    </row>
    <row r="63" spans="1:9" x14ac:dyDescent="0.3">
      <c r="A63">
        <v>60</v>
      </c>
      <c r="B63" s="1">
        <v>45400</v>
      </c>
      <c r="C63" t="s">
        <v>18</v>
      </c>
      <c r="D63" t="s">
        <v>29</v>
      </c>
      <c r="E63" t="s">
        <v>13</v>
      </c>
      <c r="F63" s="4">
        <v>2</v>
      </c>
      <c r="G63" s="3">
        <v>823</v>
      </c>
      <c r="H63" s="2">
        <f t="shared" si="0"/>
        <v>1646</v>
      </c>
      <c r="I63" t="s">
        <v>50</v>
      </c>
    </row>
    <row r="64" spans="1:9" x14ac:dyDescent="0.3">
      <c r="A64">
        <v>61</v>
      </c>
      <c r="B64" s="1">
        <v>45598</v>
      </c>
      <c r="C64" t="s">
        <v>20</v>
      </c>
      <c r="D64" t="s">
        <v>28</v>
      </c>
      <c r="E64" t="s">
        <v>14</v>
      </c>
      <c r="F64" s="4">
        <v>5</v>
      </c>
      <c r="G64" s="3">
        <v>8464</v>
      </c>
      <c r="H64" s="2">
        <f t="shared" si="0"/>
        <v>42320</v>
      </c>
      <c r="I64" t="s">
        <v>50</v>
      </c>
    </row>
    <row r="65" spans="1:9" x14ac:dyDescent="0.3">
      <c r="A65">
        <v>62</v>
      </c>
      <c r="B65" s="1">
        <v>45519</v>
      </c>
      <c r="C65" t="s">
        <v>20</v>
      </c>
      <c r="D65" t="s">
        <v>34</v>
      </c>
      <c r="E65" t="s">
        <v>9</v>
      </c>
      <c r="F65" s="4">
        <v>2</v>
      </c>
      <c r="G65" s="3">
        <v>9942</v>
      </c>
      <c r="H65" s="2">
        <f t="shared" si="0"/>
        <v>19884</v>
      </c>
      <c r="I65" t="s">
        <v>51</v>
      </c>
    </row>
    <row r="66" spans="1:9" x14ac:dyDescent="0.3">
      <c r="A66">
        <v>63</v>
      </c>
      <c r="B66" s="1">
        <v>45573</v>
      </c>
      <c r="C66" t="s">
        <v>18</v>
      </c>
      <c r="D66" t="s">
        <v>32</v>
      </c>
      <c r="E66" t="s">
        <v>10</v>
      </c>
      <c r="F66" s="4">
        <v>5</v>
      </c>
      <c r="G66" s="3">
        <v>1636</v>
      </c>
      <c r="H66" s="2">
        <f t="shared" si="0"/>
        <v>8180</v>
      </c>
      <c r="I66" t="s">
        <v>51</v>
      </c>
    </row>
    <row r="67" spans="1:9" x14ac:dyDescent="0.3">
      <c r="A67">
        <v>64</v>
      </c>
      <c r="B67" s="1">
        <v>45620</v>
      </c>
      <c r="C67" t="s">
        <v>19</v>
      </c>
      <c r="D67" t="s">
        <v>30</v>
      </c>
      <c r="E67" t="s">
        <v>11</v>
      </c>
      <c r="F67" s="4">
        <v>5</v>
      </c>
      <c r="G67" s="3">
        <v>429</v>
      </c>
      <c r="H67" s="2">
        <f t="shared" si="0"/>
        <v>2145</v>
      </c>
      <c r="I67" t="s">
        <v>51</v>
      </c>
    </row>
    <row r="68" spans="1:9" x14ac:dyDescent="0.3">
      <c r="A68">
        <v>65</v>
      </c>
      <c r="B68" s="1">
        <v>45326</v>
      </c>
      <c r="C68" t="s">
        <v>20</v>
      </c>
      <c r="D68" t="s">
        <v>34</v>
      </c>
      <c r="E68" t="s">
        <v>12</v>
      </c>
      <c r="F68" s="4">
        <v>5</v>
      </c>
      <c r="G68" s="3">
        <v>4265</v>
      </c>
      <c r="H68" s="2">
        <f t="shared" si="0"/>
        <v>21325</v>
      </c>
      <c r="I68" t="s">
        <v>51</v>
      </c>
    </row>
    <row r="69" spans="1:9" x14ac:dyDescent="0.3">
      <c r="A69">
        <v>66</v>
      </c>
      <c r="B69" s="1">
        <v>45449</v>
      </c>
      <c r="C69" t="s">
        <v>16</v>
      </c>
      <c r="D69" t="s">
        <v>33</v>
      </c>
      <c r="E69" t="s">
        <v>13</v>
      </c>
      <c r="F69" s="4">
        <v>4</v>
      </c>
      <c r="G69" s="3">
        <v>6147</v>
      </c>
      <c r="H69" s="2">
        <f t="shared" ref="H69:H103" si="1">F69*G69</f>
        <v>24588</v>
      </c>
      <c r="I69" t="s">
        <v>51</v>
      </c>
    </row>
    <row r="70" spans="1:9" x14ac:dyDescent="0.3">
      <c r="A70">
        <v>67</v>
      </c>
      <c r="B70" s="1">
        <v>45561</v>
      </c>
      <c r="C70" t="s">
        <v>16</v>
      </c>
      <c r="D70" t="s">
        <v>33</v>
      </c>
      <c r="E70" t="s">
        <v>14</v>
      </c>
      <c r="F70" s="4">
        <v>3</v>
      </c>
      <c r="G70" s="3">
        <v>2734</v>
      </c>
      <c r="H70" s="2">
        <f t="shared" si="1"/>
        <v>8202</v>
      </c>
      <c r="I70" t="s">
        <v>50</v>
      </c>
    </row>
    <row r="71" spans="1:9" x14ac:dyDescent="0.3">
      <c r="A71">
        <v>68</v>
      </c>
      <c r="B71" s="1">
        <v>45493</v>
      </c>
      <c r="C71" t="s">
        <v>20</v>
      </c>
      <c r="D71" t="s">
        <v>35</v>
      </c>
      <c r="E71" t="s">
        <v>9</v>
      </c>
      <c r="F71" s="4">
        <v>3</v>
      </c>
      <c r="G71" s="3">
        <v>1637</v>
      </c>
      <c r="H71" s="2">
        <f t="shared" si="1"/>
        <v>4911</v>
      </c>
      <c r="I71" t="s">
        <v>50</v>
      </c>
    </row>
    <row r="72" spans="1:9" x14ac:dyDescent="0.3">
      <c r="A72">
        <v>69</v>
      </c>
      <c r="B72" s="1">
        <v>45625</v>
      </c>
      <c r="C72" t="s">
        <v>19</v>
      </c>
      <c r="D72" t="s">
        <v>31</v>
      </c>
      <c r="E72" t="s">
        <v>10</v>
      </c>
      <c r="F72" s="4">
        <v>3</v>
      </c>
      <c r="G72" s="3">
        <v>7332</v>
      </c>
      <c r="H72" s="2">
        <f t="shared" si="1"/>
        <v>21996</v>
      </c>
      <c r="I72" t="s">
        <v>50</v>
      </c>
    </row>
    <row r="73" spans="1:9" x14ac:dyDescent="0.3">
      <c r="A73">
        <v>70</v>
      </c>
      <c r="B73" s="1">
        <v>45587</v>
      </c>
      <c r="C73" t="s">
        <v>16</v>
      </c>
      <c r="D73" t="s">
        <v>33</v>
      </c>
      <c r="E73" t="s">
        <v>11</v>
      </c>
      <c r="F73" s="4">
        <v>1</v>
      </c>
      <c r="G73" s="3">
        <v>9335</v>
      </c>
      <c r="H73" s="2">
        <f t="shared" si="1"/>
        <v>9335</v>
      </c>
      <c r="I73" t="s">
        <v>50</v>
      </c>
    </row>
    <row r="74" spans="1:9" x14ac:dyDescent="0.3">
      <c r="A74">
        <v>71</v>
      </c>
      <c r="B74" s="1">
        <v>45515</v>
      </c>
      <c r="C74" t="s">
        <v>18</v>
      </c>
      <c r="D74" t="s">
        <v>29</v>
      </c>
      <c r="E74" t="s">
        <v>12</v>
      </c>
      <c r="F74" s="4">
        <v>2</v>
      </c>
      <c r="G74" s="3">
        <v>6922</v>
      </c>
      <c r="H74" s="2">
        <f t="shared" si="1"/>
        <v>13844</v>
      </c>
      <c r="I74" t="s">
        <v>50</v>
      </c>
    </row>
    <row r="75" spans="1:9" x14ac:dyDescent="0.3">
      <c r="A75">
        <v>72</v>
      </c>
      <c r="B75" s="1">
        <v>45462</v>
      </c>
      <c r="C75" t="s">
        <v>16</v>
      </c>
      <c r="D75" t="s">
        <v>33</v>
      </c>
      <c r="E75" t="s">
        <v>13</v>
      </c>
      <c r="F75" s="4">
        <v>1</v>
      </c>
      <c r="G75" s="3">
        <v>2487</v>
      </c>
      <c r="H75" s="2">
        <f t="shared" si="1"/>
        <v>2487</v>
      </c>
      <c r="I75" t="s">
        <v>50</v>
      </c>
    </row>
    <row r="76" spans="1:9" x14ac:dyDescent="0.3">
      <c r="A76">
        <v>73</v>
      </c>
      <c r="B76" s="1">
        <v>45326</v>
      </c>
      <c r="C76" t="s">
        <v>17</v>
      </c>
      <c r="D76" t="s">
        <v>27</v>
      </c>
      <c r="E76" t="s">
        <v>14</v>
      </c>
      <c r="F76" s="4">
        <v>5</v>
      </c>
      <c r="G76" s="3">
        <v>7865</v>
      </c>
      <c r="H76" s="2">
        <f t="shared" si="1"/>
        <v>39325</v>
      </c>
      <c r="I76" t="s">
        <v>50</v>
      </c>
    </row>
    <row r="77" spans="1:9" x14ac:dyDescent="0.3">
      <c r="A77">
        <v>74</v>
      </c>
      <c r="B77" s="1">
        <v>45645</v>
      </c>
      <c r="C77" t="s">
        <v>20</v>
      </c>
      <c r="D77" t="s">
        <v>35</v>
      </c>
      <c r="E77" t="s">
        <v>9</v>
      </c>
      <c r="F77" s="4">
        <v>3</v>
      </c>
      <c r="G77" s="3">
        <v>282</v>
      </c>
      <c r="H77" s="2">
        <f t="shared" si="1"/>
        <v>846</v>
      </c>
      <c r="I77" t="s">
        <v>51</v>
      </c>
    </row>
    <row r="78" spans="1:9" x14ac:dyDescent="0.3">
      <c r="A78">
        <v>75</v>
      </c>
      <c r="B78" s="1">
        <v>45465</v>
      </c>
      <c r="C78" t="s">
        <v>17</v>
      </c>
      <c r="D78" t="s">
        <v>26</v>
      </c>
      <c r="E78" t="s">
        <v>10</v>
      </c>
      <c r="F78" s="4">
        <v>4</v>
      </c>
      <c r="G78" s="3">
        <v>5555</v>
      </c>
      <c r="H78" s="2">
        <f t="shared" si="1"/>
        <v>22220</v>
      </c>
      <c r="I78" t="s">
        <v>51</v>
      </c>
    </row>
    <row r="79" spans="1:9" x14ac:dyDescent="0.3">
      <c r="A79">
        <v>76</v>
      </c>
      <c r="B79" s="1">
        <v>45323</v>
      </c>
      <c r="C79" t="s">
        <v>17</v>
      </c>
      <c r="D79" t="s">
        <v>7</v>
      </c>
      <c r="E79" t="s">
        <v>11</v>
      </c>
      <c r="F79" s="4">
        <v>4</v>
      </c>
      <c r="G79" s="3">
        <v>635</v>
      </c>
      <c r="H79" s="2">
        <f t="shared" si="1"/>
        <v>2540</v>
      </c>
      <c r="I79" t="s">
        <v>51</v>
      </c>
    </row>
    <row r="80" spans="1:9" x14ac:dyDescent="0.3">
      <c r="A80">
        <v>77</v>
      </c>
      <c r="B80" s="1">
        <v>45438</v>
      </c>
      <c r="C80" t="s">
        <v>18</v>
      </c>
      <c r="D80" t="s">
        <v>29</v>
      </c>
      <c r="E80" t="s">
        <v>12</v>
      </c>
      <c r="F80" s="4">
        <v>3</v>
      </c>
      <c r="G80" s="3">
        <v>642</v>
      </c>
      <c r="H80" s="2">
        <f t="shared" si="1"/>
        <v>1926</v>
      </c>
      <c r="I80" t="s">
        <v>51</v>
      </c>
    </row>
    <row r="81" spans="1:9" x14ac:dyDescent="0.3">
      <c r="A81">
        <v>78</v>
      </c>
      <c r="B81" s="1">
        <v>45593</v>
      </c>
      <c r="C81" t="s">
        <v>17</v>
      </c>
      <c r="D81" t="s">
        <v>26</v>
      </c>
      <c r="E81" t="s">
        <v>13</v>
      </c>
      <c r="F81" s="4">
        <v>4</v>
      </c>
      <c r="G81" s="3">
        <v>9861</v>
      </c>
      <c r="H81" s="2">
        <f t="shared" si="1"/>
        <v>39444</v>
      </c>
      <c r="I81" t="s">
        <v>50</v>
      </c>
    </row>
    <row r="82" spans="1:9" x14ac:dyDescent="0.3">
      <c r="A82">
        <v>79</v>
      </c>
      <c r="B82" s="1">
        <v>45578</v>
      </c>
      <c r="C82" t="s">
        <v>18</v>
      </c>
      <c r="D82" t="s">
        <v>29</v>
      </c>
      <c r="E82" t="s">
        <v>14</v>
      </c>
      <c r="F82" s="4">
        <v>5</v>
      </c>
      <c r="G82" s="3">
        <v>7769</v>
      </c>
      <c r="H82" s="2">
        <f t="shared" si="1"/>
        <v>38845</v>
      </c>
      <c r="I82" t="s">
        <v>50</v>
      </c>
    </row>
    <row r="83" spans="1:9" x14ac:dyDescent="0.3">
      <c r="A83">
        <v>80</v>
      </c>
      <c r="B83" s="1">
        <v>45389</v>
      </c>
      <c r="C83" t="s">
        <v>18</v>
      </c>
      <c r="D83" t="s">
        <v>32</v>
      </c>
      <c r="E83" t="s">
        <v>9</v>
      </c>
      <c r="F83" s="4">
        <v>2</v>
      </c>
      <c r="G83" s="3">
        <v>9803</v>
      </c>
      <c r="H83" s="2">
        <f t="shared" si="1"/>
        <v>19606</v>
      </c>
      <c r="I83" t="s">
        <v>50</v>
      </c>
    </row>
    <row r="84" spans="1:9" x14ac:dyDescent="0.3">
      <c r="A84">
        <v>81</v>
      </c>
      <c r="B84" s="1">
        <v>45354</v>
      </c>
      <c r="C84" t="s">
        <v>16</v>
      </c>
      <c r="D84" t="s">
        <v>23</v>
      </c>
      <c r="E84" t="s">
        <v>10</v>
      </c>
      <c r="F84" s="4">
        <v>5</v>
      </c>
      <c r="G84" s="3">
        <v>1266</v>
      </c>
      <c r="H84" s="2">
        <f t="shared" si="1"/>
        <v>6330</v>
      </c>
      <c r="I84" t="s">
        <v>50</v>
      </c>
    </row>
    <row r="85" spans="1:9" x14ac:dyDescent="0.3">
      <c r="A85">
        <v>82</v>
      </c>
      <c r="B85" s="1">
        <v>45425</v>
      </c>
      <c r="C85" t="s">
        <v>20</v>
      </c>
      <c r="D85" t="s">
        <v>34</v>
      </c>
      <c r="E85" t="s">
        <v>11</v>
      </c>
      <c r="F85" s="4">
        <v>4</v>
      </c>
      <c r="G85" s="3">
        <v>7335</v>
      </c>
      <c r="H85" s="2">
        <f t="shared" si="1"/>
        <v>29340</v>
      </c>
      <c r="I85" t="s">
        <v>50</v>
      </c>
    </row>
    <row r="86" spans="1:9" x14ac:dyDescent="0.3">
      <c r="A86">
        <v>83</v>
      </c>
      <c r="B86" s="1">
        <v>45511</v>
      </c>
      <c r="C86" t="s">
        <v>19</v>
      </c>
      <c r="D86" t="s">
        <v>30</v>
      </c>
      <c r="E86" t="s">
        <v>12</v>
      </c>
      <c r="F86" s="4">
        <v>2</v>
      </c>
      <c r="G86" s="3">
        <v>1936</v>
      </c>
      <c r="H86" s="2">
        <f t="shared" si="1"/>
        <v>3872</v>
      </c>
      <c r="I86" t="s">
        <v>51</v>
      </c>
    </row>
    <row r="87" spans="1:9" x14ac:dyDescent="0.3">
      <c r="A87">
        <v>84</v>
      </c>
      <c r="B87" s="1">
        <v>45328</v>
      </c>
      <c r="C87" t="s">
        <v>17</v>
      </c>
      <c r="D87" t="s">
        <v>27</v>
      </c>
      <c r="E87" t="s">
        <v>13</v>
      </c>
      <c r="F87" s="4">
        <v>3</v>
      </c>
      <c r="G87" s="3">
        <v>6253</v>
      </c>
      <c r="H87" s="2">
        <f t="shared" si="1"/>
        <v>18759</v>
      </c>
      <c r="I87" t="s">
        <v>51</v>
      </c>
    </row>
    <row r="88" spans="1:9" x14ac:dyDescent="0.3">
      <c r="A88">
        <v>85</v>
      </c>
      <c r="B88" s="1">
        <v>45341</v>
      </c>
      <c r="C88" t="s">
        <v>16</v>
      </c>
      <c r="D88" t="s">
        <v>23</v>
      </c>
      <c r="E88" t="s">
        <v>14</v>
      </c>
      <c r="F88" s="4">
        <v>5</v>
      </c>
      <c r="G88" s="3">
        <v>8172</v>
      </c>
      <c r="H88" s="2">
        <f t="shared" si="1"/>
        <v>40860</v>
      </c>
      <c r="I88" t="s">
        <v>51</v>
      </c>
    </row>
    <row r="89" spans="1:9" x14ac:dyDescent="0.3">
      <c r="A89">
        <v>86</v>
      </c>
      <c r="B89" s="1">
        <v>45455</v>
      </c>
      <c r="C89" t="s">
        <v>17</v>
      </c>
      <c r="D89" t="s">
        <v>26</v>
      </c>
      <c r="E89" t="s">
        <v>10</v>
      </c>
      <c r="F89" s="4">
        <v>2</v>
      </c>
      <c r="G89" s="3">
        <v>4690</v>
      </c>
      <c r="H89" s="2">
        <f t="shared" si="1"/>
        <v>9380</v>
      </c>
      <c r="I89" t="s">
        <v>51</v>
      </c>
    </row>
    <row r="90" spans="1:9" x14ac:dyDescent="0.3">
      <c r="A90">
        <v>87</v>
      </c>
      <c r="B90" s="1">
        <v>45376</v>
      </c>
      <c r="C90" t="s">
        <v>16</v>
      </c>
      <c r="D90" t="s">
        <v>23</v>
      </c>
      <c r="E90" t="s">
        <v>11</v>
      </c>
      <c r="F90" s="4">
        <v>3</v>
      </c>
      <c r="G90" s="3">
        <v>9244</v>
      </c>
      <c r="H90" s="2">
        <f t="shared" si="1"/>
        <v>27732</v>
      </c>
      <c r="I90" t="s">
        <v>50</v>
      </c>
    </row>
    <row r="91" spans="1:9" x14ac:dyDescent="0.3">
      <c r="A91">
        <v>88</v>
      </c>
      <c r="B91" s="1">
        <v>45411</v>
      </c>
      <c r="C91" t="s">
        <v>18</v>
      </c>
      <c r="D91" t="s">
        <v>32</v>
      </c>
      <c r="E91" t="s">
        <v>12</v>
      </c>
      <c r="F91" s="4">
        <v>5</v>
      </c>
      <c r="G91" s="3">
        <v>8568</v>
      </c>
      <c r="H91" s="2">
        <f t="shared" si="1"/>
        <v>42840</v>
      </c>
      <c r="I91" t="s">
        <v>50</v>
      </c>
    </row>
    <row r="92" spans="1:9" x14ac:dyDescent="0.3">
      <c r="A92">
        <v>89</v>
      </c>
      <c r="B92" s="1">
        <v>45587</v>
      </c>
      <c r="C92" t="s">
        <v>19</v>
      </c>
      <c r="D92" t="s">
        <v>31</v>
      </c>
      <c r="E92" t="s">
        <v>13</v>
      </c>
      <c r="F92" s="4">
        <v>4</v>
      </c>
      <c r="G92" s="3">
        <v>7365</v>
      </c>
      <c r="H92" s="2">
        <f t="shared" si="1"/>
        <v>29460</v>
      </c>
      <c r="I92" t="s">
        <v>50</v>
      </c>
    </row>
    <row r="93" spans="1:9" x14ac:dyDescent="0.3">
      <c r="A93">
        <v>90</v>
      </c>
      <c r="B93" s="1">
        <v>45514</v>
      </c>
      <c r="C93" t="s">
        <v>19</v>
      </c>
      <c r="D93" t="s">
        <v>24</v>
      </c>
      <c r="E93" t="s">
        <v>14</v>
      </c>
      <c r="F93" s="4">
        <v>4</v>
      </c>
      <c r="G93" s="3">
        <v>5305</v>
      </c>
      <c r="H93" s="2">
        <f t="shared" si="1"/>
        <v>21220</v>
      </c>
      <c r="I93" t="s">
        <v>50</v>
      </c>
    </row>
    <row r="94" spans="1:9" x14ac:dyDescent="0.3">
      <c r="A94">
        <v>91</v>
      </c>
      <c r="B94" s="1">
        <v>45603</v>
      </c>
      <c r="C94" t="s">
        <v>17</v>
      </c>
      <c r="D94" t="s">
        <v>27</v>
      </c>
      <c r="E94" t="s">
        <v>9</v>
      </c>
      <c r="F94" s="4">
        <v>3</v>
      </c>
      <c r="G94" s="3">
        <v>9172</v>
      </c>
      <c r="H94" s="2">
        <f t="shared" si="1"/>
        <v>27516</v>
      </c>
      <c r="I94" t="s">
        <v>50</v>
      </c>
    </row>
    <row r="95" spans="1:9" x14ac:dyDescent="0.3">
      <c r="A95">
        <v>92</v>
      </c>
      <c r="B95" s="1">
        <v>45553</v>
      </c>
      <c r="C95" t="s">
        <v>16</v>
      </c>
      <c r="D95" t="s">
        <v>23</v>
      </c>
      <c r="E95" t="s">
        <v>10</v>
      </c>
      <c r="F95" s="4">
        <v>3</v>
      </c>
      <c r="G95" s="3">
        <v>2405</v>
      </c>
      <c r="H95" s="2">
        <f t="shared" si="1"/>
        <v>7215</v>
      </c>
      <c r="I95" t="s">
        <v>50</v>
      </c>
    </row>
    <row r="96" spans="1:9" x14ac:dyDescent="0.3">
      <c r="A96">
        <v>93</v>
      </c>
      <c r="B96" s="1">
        <v>45340</v>
      </c>
      <c r="C96" t="s">
        <v>19</v>
      </c>
      <c r="D96" t="s">
        <v>30</v>
      </c>
      <c r="E96" t="s">
        <v>11</v>
      </c>
      <c r="F96" s="4">
        <v>3</v>
      </c>
      <c r="G96" s="3">
        <v>2692</v>
      </c>
      <c r="H96" s="2">
        <f t="shared" si="1"/>
        <v>8076</v>
      </c>
      <c r="I96" t="s">
        <v>51</v>
      </c>
    </row>
    <row r="97" spans="1:9" x14ac:dyDescent="0.3">
      <c r="A97">
        <v>94</v>
      </c>
      <c r="B97" s="1">
        <v>45397</v>
      </c>
      <c r="C97" t="s">
        <v>20</v>
      </c>
      <c r="D97" t="s">
        <v>28</v>
      </c>
      <c r="E97" t="s">
        <v>12</v>
      </c>
      <c r="F97" s="4">
        <v>3</v>
      </c>
      <c r="G97" s="3">
        <v>2115</v>
      </c>
      <c r="H97" s="2">
        <f t="shared" si="1"/>
        <v>6345</v>
      </c>
      <c r="I97" t="s">
        <v>51</v>
      </c>
    </row>
    <row r="98" spans="1:9" x14ac:dyDescent="0.3">
      <c r="A98">
        <v>95</v>
      </c>
      <c r="B98" s="1">
        <v>45623</v>
      </c>
      <c r="C98" t="s">
        <v>20</v>
      </c>
      <c r="D98" t="s">
        <v>34</v>
      </c>
      <c r="E98" t="s">
        <v>13</v>
      </c>
      <c r="F98" s="4">
        <v>3</v>
      </c>
      <c r="G98" s="3">
        <v>637</v>
      </c>
      <c r="H98" s="2">
        <f t="shared" si="1"/>
        <v>1911</v>
      </c>
      <c r="I98" t="s">
        <v>51</v>
      </c>
    </row>
    <row r="99" spans="1:9" x14ac:dyDescent="0.3">
      <c r="A99">
        <v>96</v>
      </c>
      <c r="B99" s="1">
        <v>45523</v>
      </c>
      <c r="C99" t="s">
        <v>18</v>
      </c>
      <c r="D99" t="s">
        <v>32</v>
      </c>
      <c r="E99" t="s">
        <v>14</v>
      </c>
      <c r="F99" s="4">
        <v>3</v>
      </c>
      <c r="G99" s="3">
        <v>5813</v>
      </c>
      <c r="H99" s="2">
        <f t="shared" si="1"/>
        <v>17439</v>
      </c>
      <c r="I99" t="s">
        <v>51</v>
      </c>
    </row>
    <row r="100" spans="1:9" x14ac:dyDescent="0.3">
      <c r="A100">
        <v>97</v>
      </c>
      <c r="B100" s="1">
        <v>45619</v>
      </c>
      <c r="C100" t="s">
        <v>20</v>
      </c>
      <c r="D100" t="s">
        <v>34</v>
      </c>
      <c r="E100" t="s">
        <v>9</v>
      </c>
      <c r="F100" s="4">
        <v>5</v>
      </c>
      <c r="G100" s="3">
        <v>3524</v>
      </c>
      <c r="H100" s="2">
        <f t="shared" si="1"/>
        <v>17620</v>
      </c>
      <c r="I100" t="s">
        <v>51</v>
      </c>
    </row>
    <row r="101" spans="1:9" x14ac:dyDescent="0.3">
      <c r="A101">
        <v>98</v>
      </c>
      <c r="B101" s="1">
        <v>45557</v>
      </c>
      <c r="C101" t="s">
        <v>19</v>
      </c>
      <c r="D101" t="s">
        <v>31</v>
      </c>
      <c r="E101" t="s">
        <v>10</v>
      </c>
      <c r="F101" s="4">
        <v>2</v>
      </c>
      <c r="G101" s="3">
        <v>1594</v>
      </c>
      <c r="H101" s="2">
        <f t="shared" si="1"/>
        <v>3188</v>
      </c>
      <c r="I101" t="s">
        <v>50</v>
      </c>
    </row>
    <row r="102" spans="1:9" x14ac:dyDescent="0.3">
      <c r="A102">
        <v>99</v>
      </c>
      <c r="B102" s="1">
        <v>45353</v>
      </c>
      <c r="C102" t="s">
        <v>16</v>
      </c>
      <c r="D102" t="s">
        <v>33</v>
      </c>
      <c r="E102" t="s">
        <v>11</v>
      </c>
      <c r="F102" s="4">
        <v>5</v>
      </c>
      <c r="G102" s="3">
        <v>564</v>
      </c>
      <c r="H102" s="2">
        <f t="shared" si="1"/>
        <v>2820</v>
      </c>
      <c r="I102" t="s">
        <v>51</v>
      </c>
    </row>
    <row r="103" spans="1:9" x14ac:dyDescent="0.3">
      <c r="A103">
        <v>100</v>
      </c>
      <c r="B103" s="1">
        <v>45538</v>
      </c>
      <c r="C103" t="s">
        <v>16</v>
      </c>
      <c r="D103" t="s">
        <v>33</v>
      </c>
      <c r="E103" t="s">
        <v>12</v>
      </c>
      <c r="F103" s="4">
        <v>1</v>
      </c>
      <c r="G103" s="3">
        <v>5952</v>
      </c>
      <c r="H103" s="2">
        <f t="shared" si="1"/>
        <v>5952</v>
      </c>
      <c r="I103" t="s">
        <v>51</v>
      </c>
    </row>
  </sheetData>
  <mergeCells count="1">
    <mergeCell ref="A1:XF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D7BF-F29E-4F5B-9B00-97382C852B2F}">
  <dimension ref="A3:B16"/>
  <sheetViews>
    <sheetView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5" t="s">
        <v>15</v>
      </c>
      <c r="B3" t="s">
        <v>22</v>
      </c>
    </row>
    <row r="4" spans="1:2" x14ac:dyDescent="0.3">
      <c r="A4" s="6" t="s">
        <v>43</v>
      </c>
      <c r="B4" s="11">
        <v>76062</v>
      </c>
    </row>
    <row r="5" spans="1:2" x14ac:dyDescent="0.3">
      <c r="A5" s="6" t="s">
        <v>37</v>
      </c>
      <c r="B5" s="11">
        <v>76487</v>
      </c>
    </row>
    <row r="6" spans="1:2" x14ac:dyDescent="0.3">
      <c r="A6" s="6" t="s">
        <v>39</v>
      </c>
      <c r="B6" s="10">
        <v>82199</v>
      </c>
    </row>
    <row r="7" spans="1:2" x14ac:dyDescent="0.3">
      <c r="A7" s="6" t="s">
        <v>45</v>
      </c>
      <c r="B7" s="12">
        <v>99163</v>
      </c>
    </row>
    <row r="8" spans="1:2" x14ac:dyDescent="0.3">
      <c r="A8" s="6" t="s">
        <v>41</v>
      </c>
      <c r="B8" s="11">
        <v>105304</v>
      </c>
    </row>
    <row r="9" spans="1:2" x14ac:dyDescent="0.3">
      <c r="A9" s="6" t="s">
        <v>40</v>
      </c>
      <c r="B9" s="8">
        <v>135544</v>
      </c>
    </row>
    <row r="10" spans="1:2" x14ac:dyDescent="0.3">
      <c r="A10" s="6" t="s">
        <v>47</v>
      </c>
      <c r="B10" s="9">
        <v>136901</v>
      </c>
    </row>
    <row r="11" spans="1:2" x14ac:dyDescent="0.3">
      <c r="A11" s="6" t="s">
        <v>42</v>
      </c>
      <c r="B11" s="8">
        <v>138023</v>
      </c>
    </row>
    <row r="12" spans="1:2" x14ac:dyDescent="0.3">
      <c r="A12" s="6" t="s">
        <v>48</v>
      </c>
      <c r="B12" s="10">
        <v>142506</v>
      </c>
    </row>
    <row r="13" spans="1:2" x14ac:dyDescent="0.3">
      <c r="A13" s="6" t="s">
        <v>46</v>
      </c>
      <c r="B13" s="9">
        <v>162747</v>
      </c>
    </row>
    <row r="14" spans="1:2" x14ac:dyDescent="0.3">
      <c r="A14" s="6" t="s">
        <v>44</v>
      </c>
      <c r="B14" s="9">
        <v>241474</v>
      </c>
    </row>
    <row r="15" spans="1:2" x14ac:dyDescent="0.3">
      <c r="A15" s="6" t="s">
        <v>38</v>
      </c>
      <c r="B15" s="12">
        <v>309212</v>
      </c>
    </row>
    <row r="16" spans="1:2" x14ac:dyDescent="0.3">
      <c r="A16" s="6" t="s">
        <v>21</v>
      </c>
      <c r="B16" s="2">
        <v>1705622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A2FF-7033-4137-9007-B036A58E146D}">
  <dimension ref="A3:B19"/>
  <sheetViews>
    <sheetView topLeftCell="B10" workbookViewId="0">
      <selection activeCell="F22" sqref="E22:F35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5" t="s">
        <v>15</v>
      </c>
      <c r="B3" t="s">
        <v>22</v>
      </c>
    </row>
    <row r="4" spans="1:2" x14ac:dyDescent="0.3">
      <c r="A4" s="6" t="s">
        <v>23</v>
      </c>
      <c r="B4" s="2">
        <v>253645</v>
      </c>
    </row>
    <row r="5" spans="1:2" x14ac:dyDescent="0.3">
      <c r="A5" s="6" t="s">
        <v>24</v>
      </c>
      <c r="B5" s="2">
        <v>27448</v>
      </c>
    </row>
    <row r="6" spans="1:2" x14ac:dyDescent="0.3">
      <c r="A6" s="6" t="s">
        <v>25</v>
      </c>
      <c r="B6" s="2">
        <v>80220</v>
      </c>
    </row>
    <row r="7" spans="1:2" x14ac:dyDescent="0.3">
      <c r="A7" s="6" t="s">
        <v>26</v>
      </c>
      <c r="B7" s="2">
        <v>146791</v>
      </c>
    </row>
    <row r="8" spans="1:2" x14ac:dyDescent="0.3">
      <c r="A8" s="6" t="s">
        <v>27</v>
      </c>
      <c r="B8" s="2">
        <v>86342</v>
      </c>
    </row>
    <row r="9" spans="1:2" x14ac:dyDescent="0.3">
      <c r="A9" s="6" t="s">
        <v>28</v>
      </c>
      <c r="B9" s="2">
        <v>187342</v>
      </c>
    </row>
    <row r="10" spans="1:2" x14ac:dyDescent="0.3">
      <c r="A10" s="6" t="s">
        <v>29</v>
      </c>
      <c r="B10" s="2">
        <v>56261</v>
      </c>
    </row>
    <row r="11" spans="1:2" x14ac:dyDescent="0.3">
      <c r="A11" s="6" t="s">
        <v>30</v>
      </c>
      <c r="B11" s="2">
        <v>118946</v>
      </c>
    </row>
    <row r="12" spans="1:2" x14ac:dyDescent="0.3">
      <c r="A12" s="6" t="s">
        <v>31</v>
      </c>
      <c r="B12" s="2">
        <v>175316</v>
      </c>
    </row>
    <row r="13" spans="1:2" x14ac:dyDescent="0.3">
      <c r="A13" s="6" t="s">
        <v>32</v>
      </c>
      <c r="B13" s="2">
        <v>147079</v>
      </c>
    </row>
    <row r="14" spans="1:2" x14ac:dyDescent="0.3">
      <c r="A14" s="6" t="s">
        <v>33</v>
      </c>
      <c r="B14" s="2">
        <v>115249</v>
      </c>
    </row>
    <row r="15" spans="1:2" x14ac:dyDescent="0.3">
      <c r="A15" s="6" t="s">
        <v>7</v>
      </c>
      <c r="B15" s="2">
        <v>64246</v>
      </c>
    </row>
    <row r="16" spans="1:2" x14ac:dyDescent="0.3">
      <c r="A16" s="6" t="s">
        <v>34</v>
      </c>
      <c r="B16" s="2">
        <v>143151</v>
      </c>
    </row>
    <row r="17" spans="1:2" x14ac:dyDescent="0.3">
      <c r="A17" s="6" t="s">
        <v>35</v>
      </c>
      <c r="B17" s="2">
        <v>53382</v>
      </c>
    </row>
    <row r="18" spans="1:2" x14ac:dyDescent="0.3">
      <c r="A18" s="6" t="s">
        <v>36</v>
      </c>
      <c r="B18" s="2">
        <v>50204</v>
      </c>
    </row>
    <row r="19" spans="1:2" x14ac:dyDescent="0.3">
      <c r="A19" s="6" t="s">
        <v>21</v>
      </c>
      <c r="B19" s="2">
        <v>1705622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098F-DD70-4D75-95F0-B93B89A0DFFC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5" t="s">
        <v>15</v>
      </c>
      <c r="B3" t="s">
        <v>22</v>
      </c>
    </row>
    <row r="4" spans="1:2" x14ac:dyDescent="0.3">
      <c r="A4" s="6" t="s">
        <v>16</v>
      </c>
      <c r="B4" s="2">
        <v>419098</v>
      </c>
    </row>
    <row r="5" spans="1:2" x14ac:dyDescent="0.3">
      <c r="A5" s="6" t="s">
        <v>17</v>
      </c>
      <c r="B5" s="2">
        <v>297379</v>
      </c>
    </row>
    <row r="6" spans="1:2" x14ac:dyDescent="0.3">
      <c r="A6" s="6" t="s">
        <v>18</v>
      </c>
      <c r="B6" s="2">
        <v>283560</v>
      </c>
    </row>
    <row r="7" spans="1:2" x14ac:dyDescent="0.3">
      <c r="A7" s="6" t="s">
        <v>19</v>
      </c>
      <c r="B7" s="2">
        <v>321710</v>
      </c>
    </row>
    <row r="8" spans="1:2" x14ac:dyDescent="0.3">
      <c r="A8" s="6" t="s">
        <v>20</v>
      </c>
      <c r="B8" s="2">
        <v>383875</v>
      </c>
    </row>
    <row r="9" spans="1:2" x14ac:dyDescent="0.3">
      <c r="A9" s="6" t="s">
        <v>21</v>
      </c>
      <c r="B9" s="2">
        <v>1705622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196B-B1BF-4299-9DAC-9F8564AC3CDC}">
  <dimension ref="A3:B1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5" t="s">
        <v>15</v>
      </c>
      <c r="B3" t="s">
        <v>22</v>
      </c>
    </row>
    <row r="4" spans="1:2" x14ac:dyDescent="0.3">
      <c r="A4" s="6" t="s">
        <v>11</v>
      </c>
      <c r="B4" s="2">
        <v>298980</v>
      </c>
    </row>
    <row r="5" spans="1:2" x14ac:dyDescent="0.3">
      <c r="A5" s="6" t="s">
        <v>10</v>
      </c>
      <c r="B5" s="2">
        <v>219030</v>
      </c>
    </row>
    <row r="6" spans="1:2" x14ac:dyDescent="0.3">
      <c r="A6" s="6" t="s">
        <v>14</v>
      </c>
      <c r="B6" s="2">
        <v>341948</v>
      </c>
    </row>
    <row r="7" spans="1:2" x14ac:dyDescent="0.3">
      <c r="A7" s="6" t="s">
        <v>13</v>
      </c>
      <c r="B7" s="2">
        <v>243574</v>
      </c>
    </row>
    <row r="8" spans="1:2" x14ac:dyDescent="0.3">
      <c r="A8" s="6" t="s">
        <v>9</v>
      </c>
      <c r="B8" s="2">
        <v>301594</v>
      </c>
    </row>
    <row r="9" spans="1:2" x14ac:dyDescent="0.3">
      <c r="A9" s="6" t="s">
        <v>3</v>
      </c>
      <c r="B9" s="2">
        <v>23766</v>
      </c>
    </row>
    <row r="10" spans="1:2" x14ac:dyDescent="0.3">
      <c r="A10" s="6" t="s">
        <v>12</v>
      </c>
      <c r="B10" s="2">
        <v>276730</v>
      </c>
    </row>
    <row r="11" spans="1:2" x14ac:dyDescent="0.3">
      <c r="A11" s="6" t="s">
        <v>21</v>
      </c>
      <c r="B11" s="2">
        <v>1705622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3088-84A7-474B-9003-AC60A457C4A0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5" t="s">
        <v>15</v>
      </c>
      <c r="B3" t="s">
        <v>53</v>
      </c>
    </row>
    <row r="4" spans="1:2" x14ac:dyDescent="0.3">
      <c r="A4" s="6" t="s">
        <v>50</v>
      </c>
      <c r="B4" s="7">
        <v>2453765</v>
      </c>
    </row>
    <row r="5" spans="1:2" x14ac:dyDescent="0.3">
      <c r="A5" s="6" t="s">
        <v>51</v>
      </c>
      <c r="B5" s="7">
        <v>1544067</v>
      </c>
    </row>
    <row r="6" spans="1:2" x14ac:dyDescent="0.3">
      <c r="A6" s="6" t="s">
        <v>21</v>
      </c>
      <c r="B6" s="7">
        <v>3997832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SHEET</vt:lpstr>
      <vt:lpstr>TOTAL SALES</vt:lpstr>
      <vt:lpstr>PRODUCT SALES</vt:lpstr>
      <vt:lpstr>CATEGORY SALES</vt:lpstr>
      <vt:lpstr>REGION SALES</vt:lpstr>
      <vt:lpstr>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kunika banait</dc:creator>
  <cp:lastModifiedBy>kunika banait</cp:lastModifiedBy>
  <dcterms:created xsi:type="dcterms:W3CDTF">2025-11-24T11:28:09Z</dcterms:created>
  <dcterms:modified xsi:type="dcterms:W3CDTF">2025-11-24T14:45:53Z</dcterms:modified>
</cp:coreProperties>
</file>